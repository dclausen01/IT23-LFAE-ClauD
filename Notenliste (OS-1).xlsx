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Berechnung" sheetId="1" state="visible" r:id="rId1"/>
    <sheet name="Unterrichtsbeteiligung" sheetId="2" state="visible" r:id="rId2"/>
    <sheet name="Klausur1" sheetId="3" state="visible" r:id="rId3"/>
    <sheet name="Klausur1Schlüssel" sheetId="4" state="visible" r:id="rId4"/>
    <sheet name="Schlüssel" sheetId="5" state="visible" r:id="rId5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<sst xmlns="http://schemas.openxmlformats.org/spreadsheetml/2006/main" count="78" uniqueCount="78">
  <si>
    <t>Vorname</t>
  </si>
  <si>
    <t>Name</t>
  </si>
  <si>
    <t>Unterrichtsbe-teiligung</t>
  </si>
  <si>
    <t xml:space="preserve">Klausur 1</t>
  </si>
  <si>
    <t xml:space="preserve">Klausur 2</t>
  </si>
  <si>
    <t xml:space="preserve">Note 1. Hj.</t>
  </si>
  <si>
    <t>Gewichtung</t>
  </si>
  <si>
    <t>Gesamtnote</t>
  </si>
  <si>
    <t xml:space="preserve">mit Zusatzleistungen</t>
  </si>
  <si>
    <t xml:space="preserve">In Notenskala</t>
  </si>
  <si>
    <t xml:space="preserve">In Punkten</t>
  </si>
  <si>
    <t xml:space="preserve">Ggf. Zusatzleistung 1</t>
  </si>
  <si>
    <t>%</t>
  </si>
  <si>
    <t xml:space="preserve">Ggf. Zusatzleistung 2</t>
  </si>
  <si>
    <t xml:space="preserve">Ggf. Zusatzleistung 3</t>
  </si>
  <si>
    <t>mdl.</t>
  </si>
  <si>
    <t>schrift.</t>
  </si>
  <si>
    <t>Timo</t>
  </si>
  <si>
    <t>Bahl</t>
  </si>
  <si>
    <t xml:space="preserve">Unterrichtsbeteiligung: </t>
  </si>
  <si>
    <t>Sarah</t>
  </si>
  <si>
    <t>Bohnsack</t>
  </si>
  <si>
    <t xml:space="preserve">Schriftliche Leistungen: </t>
  </si>
  <si>
    <t>Niklas</t>
  </si>
  <si>
    <t>Faust</t>
  </si>
  <si>
    <t xml:space="preserve">Klausur 1:      </t>
  </si>
  <si>
    <t>Fahrettin</t>
  </si>
  <si>
    <t>Gediz</t>
  </si>
  <si>
    <t xml:space="preserve">Klausur 2:      </t>
  </si>
  <si>
    <t>Nils</t>
  </si>
  <si>
    <t>Heitbrink</t>
  </si>
  <si>
    <t>Dennis</t>
  </si>
  <si>
    <t>Kyrpychenko</t>
  </si>
  <si>
    <t xml:space="preserve">Gesamt: </t>
  </si>
  <si>
    <t>Finn</t>
  </si>
  <si>
    <t>Lenz</t>
  </si>
  <si>
    <t>Gergö</t>
  </si>
  <si>
    <t>Lukacs</t>
  </si>
  <si>
    <t>Noack</t>
  </si>
  <si>
    <t>-</t>
  </si>
  <si>
    <t xml:space="preserve">Punkte oder Notenwerte?</t>
  </si>
  <si>
    <t>Lasse</t>
  </si>
  <si>
    <t>Pöhls</t>
  </si>
  <si>
    <t xml:space="preserve">(P oder N)</t>
  </si>
  <si>
    <t>P</t>
  </si>
  <si>
    <t>Jerik</t>
  </si>
  <si>
    <t>Reddig</t>
  </si>
  <si>
    <t>Jeremy</t>
  </si>
  <si>
    <t>Rohwer</t>
  </si>
  <si>
    <t>Nora</t>
  </si>
  <si>
    <t>Schewe</t>
  </si>
  <si>
    <t>Tim</t>
  </si>
  <si>
    <t>Scholtz</t>
  </si>
  <si>
    <t>Alex</t>
  </si>
  <si>
    <t>Sejdija</t>
  </si>
  <si>
    <t>Torben</t>
  </si>
  <si>
    <t>Winkler</t>
  </si>
  <si>
    <t>Jonas</t>
  </si>
  <si>
    <t>Wittenberg</t>
  </si>
  <si>
    <t>Kjell</t>
  </si>
  <si>
    <t>Wolff</t>
  </si>
  <si>
    <t xml:space="preserve">Aktueller Stand</t>
  </si>
  <si>
    <t>Datumsliste</t>
  </si>
  <si>
    <t>Punkteliste</t>
  </si>
  <si>
    <t xml:space="preserve">Finale Note</t>
  </si>
  <si>
    <t xml:space="preserve">Note als Zahl</t>
  </si>
  <si>
    <t xml:space="preserve">Note als Skala</t>
  </si>
  <si>
    <t>Punkte</t>
  </si>
  <si>
    <t>1+</t>
  </si>
  <si>
    <t>1-</t>
  </si>
  <si>
    <t>2+</t>
  </si>
  <si>
    <t>2-</t>
  </si>
  <si>
    <t>3+</t>
  </si>
  <si>
    <t>3-</t>
  </si>
  <si>
    <t>4+</t>
  </si>
  <si>
    <t>4-</t>
  </si>
  <si>
    <t>5+</t>
  </si>
  <si>
    <t>5-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</si>
</sst>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\ %"/>
    <numFmt numFmtId="165" formatCode="0.0"/>
    <numFmt numFmtId="166" formatCode="dd/mm/yyyy"/>
  </numFmts>
  <fonts count="8">
    <font>
      <sz val="11.000000"/>
      <color theme="1"/>
      <name val="Calibri"/>
    </font>
    <font>
      <sz val="10.000000"/>
      <name val="Arial"/>
    </font>
    <font>
      <b/>
      <sz val="11.000000"/>
      <color theme="1"/>
      <name val="Calibri"/>
    </font>
    <font>
      <b/>
      <sz val="11.000000"/>
      <color rgb="FF00B050"/>
      <name val="Calibri"/>
    </font>
    <font>
      <sz val="11.000000"/>
      <color rgb="FF00B050"/>
      <name val="Calibri"/>
    </font>
    <font>
      <b/>
      <i/>
      <sz val="11.000000"/>
      <color theme="1"/>
      <name val="Calibri"/>
    </font>
    <font>
      <sz val="14.000000"/>
      <color theme="1"/>
      <name val="Calibri"/>
    </font>
    <font>
      <i/>
      <sz val="14.000000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4" tint="0.79990000000000006"/>
        <bgColor rgb="FFD6DCE5"/>
      </patternFill>
    </fill>
    <fill>
      <patternFill patternType="solid">
        <fgColor theme="5" tint="0.79990000000000006"/>
        <bgColor rgb="FFFFF2CC"/>
      </patternFill>
    </fill>
    <fill>
      <patternFill patternType="solid">
        <fgColor theme="9" tint="0.79990000000000006"/>
        <bgColor rgb="FFEDEDED"/>
      </patternFill>
    </fill>
    <fill>
      <patternFill patternType="solid">
        <fgColor theme="3" tint="0.79990000000000006"/>
        <bgColor rgb="FFDAE3F3"/>
      </patternFill>
    </fill>
    <fill>
      <patternFill patternType="solid">
        <fgColor theme="6" tint="0.79990000000000006"/>
        <bgColor rgb="FFF2F2F2"/>
      </patternFill>
    </fill>
    <fill>
      <patternFill patternType="solid">
        <fgColor theme="4"/>
        <bgColor rgb="FF44546A"/>
      </patternFill>
    </fill>
    <fill>
      <patternFill patternType="solid">
        <fgColor theme="5"/>
        <bgColor indexed="29"/>
      </patternFill>
    </fill>
    <fill>
      <patternFill patternType="solid">
        <fgColor theme="9"/>
        <bgColor indexed="23"/>
      </patternFill>
    </fill>
    <fill>
      <patternFill patternType="solid">
        <fgColor theme="0" tint="-0.25"/>
        <bgColor rgb="FFA5A5A5"/>
      </patternFill>
    </fill>
    <fill>
      <patternFill patternType="solid">
        <fgColor theme="3"/>
        <bgColor indexed="62"/>
      </patternFill>
    </fill>
    <fill>
      <patternFill patternType="solid">
        <fgColor theme="6"/>
        <bgColor rgb="FFBFBFBF"/>
      </patternFill>
    </fill>
    <fill>
      <patternFill patternType="solid">
        <fgColor theme="7" tint="0.59989999999999999"/>
        <bgColor rgb="FFFFF2CC"/>
      </patternFill>
    </fill>
    <fill>
      <patternFill patternType="solid">
        <fgColor theme="0" tint="-0.050000000000000003"/>
        <bgColor rgb="FFEDEDED"/>
      </patternFill>
    </fill>
    <fill>
      <patternFill patternType="solid">
        <fgColor theme="7" tint="0.79990000000000006"/>
        <bgColor rgb="FFFBE5D6"/>
      </patternFill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double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none"/>
      <bottom style="double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double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0" fillId="0" borderId="0" numFmtId="164" applyNumberFormat="1" applyFont="1" applyFill="1" applyBorder="0" applyProtection="0"/>
  </cellStyleXfs>
  <cellXfs count="59">
    <xf fontId="0" fillId="0" borderId="0" numFmtId="0" xfId="0" applyProtection="0">
      <protection hidden="0" locked="1"/>
    </xf>
    <xf fontId="0" fillId="2" borderId="0" numFmtId="0" xfId="0" applyFill="1" applyAlignment="1" applyProtection="0">
      <alignment horizontal="center"/>
      <protection hidden="0" locked="1"/>
    </xf>
    <xf fontId="0" fillId="3" borderId="0" numFmtId="0" xfId="0" applyFill="1" applyAlignment="1" applyProtection="0">
      <alignment horizontal="center"/>
      <protection hidden="0" locked="1"/>
    </xf>
    <xf fontId="0" fillId="4" borderId="0" numFmtId="0" xfId="0" applyFill="1" applyAlignment="1" applyProtection="0">
      <alignment horizontal="center"/>
      <protection hidden="0" locked="1"/>
    </xf>
    <xf fontId="0" fillId="5" borderId="0" numFmtId="0" xfId="0" applyFill="1" applyProtection="0">
      <protection hidden="0" locked="1"/>
    </xf>
    <xf fontId="2" fillId="0" borderId="0" numFmtId="0" xfId="0" applyFont="1" applyAlignment="1" applyProtection="0">
      <alignment horizontal="center"/>
      <protection hidden="0" locked="1"/>
    </xf>
    <xf fontId="0" fillId="6" borderId="0" numFmtId="0" xfId="0" applyFill="1" applyAlignment="1" applyProtection="0">
      <alignment horizontal="center"/>
      <protection hidden="0" locked="1"/>
    </xf>
    <xf fontId="2" fillId="0" borderId="0" numFmtId="0" xfId="0" applyFont="1" applyProtection="0">
      <protection hidden="0" locked="1"/>
    </xf>
    <xf fontId="0" fillId="0" borderId="0" numFmtId="0" xfId="0" applyAlignment="1" applyProtection="0">
      <alignment horizontal="center"/>
      <protection hidden="0" locked="1"/>
    </xf>
    <xf fontId="2" fillId="0" borderId="1" numFmtId="0" xfId="0" applyFont="1" applyBorder="1" applyAlignment="1" applyProtection="0">
      <alignment horizontal="center" vertical="center" wrapText="1"/>
      <protection hidden="0" locked="1"/>
    </xf>
    <xf fontId="2" fillId="7" borderId="1" numFmtId="0" xfId="0" applyFont="1" applyFill="1" applyBorder="1" applyAlignment="1" applyProtection="0">
      <alignment horizontal="center" vertical="center" wrapText="1"/>
      <protection hidden="0" locked="1"/>
    </xf>
    <xf fontId="2" fillId="8" borderId="1" numFmtId="0" xfId="0" applyFont="1" applyFill="1" applyBorder="1" applyAlignment="1" applyProtection="0">
      <alignment horizontal="center" vertical="center" wrapText="1"/>
      <protection hidden="0" locked="1"/>
    </xf>
    <xf fontId="2" fillId="9" borderId="1" numFmtId="0" xfId="0" applyFont="1" applyFill="1" applyBorder="1" applyAlignment="1" applyProtection="0">
      <alignment horizontal="center" vertical="center" wrapText="1"/>
      <protection hidden="0" locked="1"/>
    </xf>
    <xf fontId="2" fillId="10" borderId="1" numFmtId="0" xfId="0" applyFont="1" applyFill="1" applyBorder="1" applyAlignment="1" applyProtection="0">
      <alignment horizontal="center" vertical="center" wrapText="1"/>
      <protection hidden="0" locked="1"/>
    </xf>
    <xf fontId="2" fillId="11" borderId="1" numFmtId="0" xfId="0" applyFont="1" applyFill="1" applyBorder="1" applyAlignment="1" applyProtection="0">
      <alignment horizontal="center" vertical="center" wrapText="1"/>
      <protection hidden="0" locked="1"/>
    </xf>
    <xf fontId="2" fillId="12" borderId="2" numFmtId="0" xfId="0" applyFont="1" applyFill="1" applyBorder="1" applyAlignment="1" applyProtection="0">
      <alignment horizontal="center" vertical="center" wrapText="1"/>
      <protection hidden="0" locked="1"/>
    </xf>
    <xf fontId="2" fillId="13" borderId="2" numFmtId="0" xfId="0" applyFont="1" applyFill="1" applyBorder="1" applyAlignment="1" applyProtection="0">
      <alignment horizontal="center" vertical="center" wrapText="1"/>
      <protection hidden="0" locked="1"/>
    </xf>
    <xf fontId="0" fillId="0" borderId="3" numFmtId="0" xfId="0" applyBorder="1" applyProtection="0">
      <protection hidden="0" locked="1"/>
    </xf>
    <xf fontId="1" fillId="0" borderId="0" numFmtId="0" xfId="0" applyFont="1" applyAlignment="1" applyProtection="0">
      <alignment horizontal="left" vertical="top" wrapText="1"/>
      <protection hidden="0" locked="1"/>
    </xf>
    <xf fontId="0" fillId="2" borderId="3" numFmtId="165" xfId="0" applyNumberFormat="1" applyFill="1" applyBorder="1" applyAlignment="1" applyProtection="0">
      <alignment horizontal="center"/>
      <protection hidden="0" locked="1"/>
    </xf>
    <xf fontId="0" fillId="3" borderId="3" numFmtId="0" xfId="0" applyFill="1" applyBorder="1" applyAlignment="1" applyProtection="0">
      <alignment horizontal="center"/>
      <protection hidden="0" locked="1"/>
    </xf>
    <xf fontId="0" fillId="4" borderId="3" numFmtId="0" xfId="0" applyFill="1" applyBorder="1" applyAlignment="1" applyProtection="0">
      <alignment horizontal="center"/>
      <protection hidden="0" locked="1"/>
    </xf>
    <xf fontId="0" fillId="14" borderId="3" numFmtId="0" xfId="0" applyFill="1" applyBorder="1" applyAlignment="1" applyProtection="0">
      <alignment horizontal="center"/>
      <protection hidden="0" locked="1"/>
    </xf>
    <xf fontId="2" fillId="5" borderId="3" numFmtId="0" xfId="0" applyFont="1" applyFill="1" applyBorder="1" applyAlignment="1" applyProtection="0">
      <alignment horizontal="right"/>
      <protection hidden="0" locked="1"/>
    </xf>
    <xf fontId="3" fillId="0" borderId="3" numFmtId="164" xfId="0" applyNumberFormat="1" applyFont="1" applyBorder="1" applyAlignment="1" applyProtection="0">
      <alignment horizontal="center"/>
      <protection hidden="0" locked="1"/>
    </xf>
    <xf fontId="0" fillId="6" borderId="3" numFmtId="0" xfId="0" applyFill="1" applyBorder="1" applyAlignment="1" applyProtection="0">
      <alignment horizontal="center"/>
      <protection hidden="0" locked="1"/>
    </xf>
    <xf fontId="2" fillId="6" borderId="3" numFmtId="0" xfId="0" applyFont="1" applyFill="1" applyBorder="1" applyProtection="0">
      <protection hidden="0" locked="1"/>
    </xf>
    <xf fontId="2" fillId="6" borderId="3" numFmtId="0" xfId="0" applyFont="1" applyFill="1" applyBorder="1" applyAlignment="1" applyProtection="0">
      <alignment horizontal="center"/>
      <protection hidden="0" locked="1"/>
    </xf>
    <xf fontId="0" fillId="15" borderId="3" numFmtId="0" xfId="0" applyFill="1" applyBorder="1" applyAlignment="1" applyProtection="0">
      <alignment horizontal="center"/>
      <protection hidden="0" locked="1"/>
    </xf>
    <xf fontId="0" fillId="15" borderId="3" numFmtId="164" xfId="0" applyNumberFormat="1" applyFill="1" applyBorder="1" applyAlignment="1" applyProtection="0">
      <alignment horizontal="center"/>
      <protection hidden="0" locked="1"/>
    </xf>
    <xf fontId="0" fillId="0" borderId="3" numFmtId="164" xfId="5" applyNumberFormat="1" applyBorder="1" applyAlignment="1" applyProtection="1">
      <alignment horizontal="center"/>
      <protection hidden="0" locked="1"/>
    </xf>
    <xf fontId="0" fillId="0" borderId="3" numFmtId="164" xfId="0" applyNumberFormat="1" applyBorder="1" applyProtection="0">
      <protection hidden="0" locked="1"/>
    </xf>
    <xf fontId="0" fillId="0" borderId="4" numFmtId="0" xfId="0" applyBorder="1" applyProtection="0">
      <protection hidden="0" locked="1"/>
    </xf>
    <xf fontId="0" fillId="4" borderId="4" numFmtId="0" xfId="0" applyFill="1" applyBorder="1" applyAlignment="1" applyProtection="0">
      <alignment horizontal="center"/>
      <protection hidden="0" locked="1"/>
    </xf>
    <xf fontId="0" fillId="14" borderId="4" numFmtId="0" xfId="0" applyFill="1" applyBorder="1" applyAlignment="1" applyProtection="0">
      <alignment horizontal="center"/>
      <protection hidden="0" locked="1"/>
    </xf>
    <xf fontId="2" fillId="5" borderId="4" numFmtId="0" xfId="0" applyFont="1" applyFill="1" applyBorder="1" applyAlignment="1" applyProtection="0">
      <alignment horizontal="right"/>
      <protection hidden="0" locked="1"/>
    </xf>
    <xf fontId="2" fillId="0" borderId="4" numFmtId="164" xfId="0" applyNumberFormat="1" applyFont="1" applyBorder="1" applyAlignment="1" applyProtection="0">
      <alignment horizontal="center"/>
      <protection hidden="0" locked="1"/>
    </xf>
    <xf fontId="4" fillId="0" borderId="4" numFmtId="164" xfId="0" applyNumberFormat="1" applyFont="1" applyBorder="1" applyAlignment="1" applyProtection="0">
      <alignment horizontal="right"/>
      <protection hidden="0" locked="1"/>
    </xf>
    <xf fontId="0" fillId="0" borderId="4" numFmtId="164" xfId="0" applyNumberFormat="1" applyBorder="1" applyAlignment="1" applyProtection="0">
      <alignment horizontal="right"/>
      <protection hidden="0" locked="1"/>
    </xf>
    <xf fontId="0" fillId="5" borderId="4" numFmtId="0" xfId="0" applyFill="1" applyBorder="1" applyProtection="0">
      <protection hidden="0" locked="1"/>
    </xf>
    <xf fontId="2" fillId="0" borderId="4" numFmtId="0" xfId="0" applyFont="1" applyBorder="1" applyAlignment="1" applyProtection="0">
      <alignment horizontal="center"/>
      <protection hidden="0" locked="1"/>
    </xf>
    <xf fontId="5" fillId="5" borderId="4" numFmtId="0" xfId="0" applyFont="1" applyFill="1" applyBorder="1" applyAlignment="1" applyProtection="0">
      <alignment horizontal="right"/>
      <protection hidden="0" locked="1"/>
    </xf>
    <xf fontId="0" fillId="3" borderId="3" numFmtId="0" xfId="0" applyFill="1" applyBorder="1" applyAlignment="1" applyProtection="0" quotePrefix="1">
      <alignment horizontal="center"/>
      <protection hidden="0" locked="1"/>
    </xf>
    <xf fontId="0" fillId="5" borderId="4" numFmtId="0" xfId="0" applyFill="1" applyBorder="1" applyAlignment="1" applyProtection="0">
      <alignment horizontal="right"/>
      <protection hidden="0" locked="1"/>
    </xf>
    <xf fontId="3" fillId="0" borderId="4" numFmtId="0" xfId="0" applyFont="1" applyBorder="1" applyAlignment="1" applyProtection="0">
      <alignment horizontal="center"/>
      <protection hidden="0" locked="1"/>
    </xf>
    <xf fontId="0" fillId="0" borderId="5" numFmtId="0" xfId="0" applyBorder="1" applyProtection="0">
      <protection hidden="0" locked="1"/>
    </xf>
    <xf fontId="0" fillId="0" borderId="6" numFmtId="0" xfId="0" applyBorder="1" applyAlignment="1" applyProtection="0">
      <alignment horizontal="center"/>
      <protection hidden="0" locked="1"/>
    </xf>
    <xf fontId="2" fillId="0" borderId="1" numFmtId="0" xfId="0" applyFont="1" applyBorder="1" applyAlignment="1" applyProtection="0">
      <alignment horizontal="center"/>
      <protection hidden="0" locked="1"/>
    </xf>
    <xf fontId="2" fillId="0" borderId="7" numFmtId="0" xfId="0" applyFont="1" applyBorder="1" applyAlignment="1" applyProtection="0">
      <alignment horizontal="center"/>
      <protection hidden="0" locked="1"/>
    </xf>
    <xf fontId="2" fillId="0" borderId="1" numFmtId="166" xfId="0" applyNumberFormat="1" applyFont="1" applyBorder="1" applyAlignment="1" applyProtection="0">
      <alignment horizontal="center"/>
      <protection hidden="0" locked="1"/>
    </xf>
    <xf fontId="2" fillId="0" borderId="8" numFmtId="166" xfId="0" applyNumberFormat="1" applyFont="1" applyBorder="1" applyAlignment="1" applyProtection="0">
      <alignment horizontal="center"/>
      <protection hidden="0" locked="1"/>
    </xf>
    <xf fontId="6" fillId="0" borderId="0" numFmtId="0" xfId="0" applyFont="1" applyProtection="0">
      <protection hidden="0" locked="1"/>
    </xf>
    <xf fontId="6" fillId="0" borderId="5" numFmtId="0" xfId="0" applyFont="1" applyBorder="1" applyProtection="0">
      <protection hidden="0" locked="1"/>
    </xf>
    <xf fontId="7" fillId="0" borderId="3" numFmtId="0" xfId="0" applyFont="1" applyBorder="1" applyAlignment="1" applyProtection="0">
      <alignment horizontal="center"/>
      <protection hidden="0" locked="1"/>
    </xf>
    <xf fontId="6" fillId="0" borderId="6" numFmtId="0" xfId="0" applyFont="1" applyBorder="1" applyAlignment="1" applyProtection="0">
      <alignment horizontal="center"/>
      <protection hidden="0" locked="1"/>
    </xf>
    <xf fontId="6" fillId="0" borderId="0" numFmtId="166" xfId="0" applyNumberFormat="1" applyFont="1" applyProtection="0">
      <protection hidden="0" locked="1"/>
    </xf>
    <xf fontId="6" fillId="0" borderId="0" numFmtId="0" xfId="0" applyFont="1" applyAlignment="1" applyProtection="0">
      <alignment horizontal="center"/>
      <protection hidden="0" locked="1"/>
    </xf>
    <xf fontId="7" fillId="0" borderId="4" numFmtId="0" xfId="0" applyFont="1" applyBorder="1" applyAlignment="1" applyProtection="0">
      <alignment horizontal="center"/>
      <protection hidden="0" locked="1"/>
    </xf>
    <xf fontId="0" fillId="0" borderId="0" numFmtId="166" xfId="0" applyNumberForma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4" topLeftCell="A5" activePane="bottomLeft" state="frozen"/>
      <selection activeCell="C37" activeCellId="0" sqref="C37"/>
    </sheetView>
  </sheetViews>
  <sheetFormatPr defaultColWidth="10.78125" defaultRowHeight="14.25" outlineLevelCol="2"/>
  <cols>
    <col customWidth="1" min="1" max="1" style="0" width="18.109999999999999"/>
    <col customWidth="1" min="2" max="2" style="0" width="27"/>
    <col customWidth="1" hidden="1" min="3" max="3" outlineLevel="1" style="1" width="13.33"/>
    <col customWidth="1" hidden="1" min="4" max="4" outlineLevel="1" style="2" width="0"/>
    <col customWidth="1" hidden="1" min="5" max="5" outlineLevel="1" style="3" width="0"/>
    <col customWidth="1" hidden="1" min="6" max="6" outlineLevel="2" style="3" width="0"/>
    <col collapsed="1" customWidth="1" hidden="1" min="7" max="7" outlineLevel="1" style="4" width="22.219999999999999"/>
    <col customWidth="1" hidden="1" min="8" max="8" outlineLevel="1" style="5" width="8.8900000000000006"/>
    <col customWidth="1" hidden="1" min="9" max="9" outlineLevel="1" style="6" width="0"/>
    <col customWidth="1" hidden="1" min="10" max="10" outlineLevel="1" style="6" width="16.780000000000001"/>
    <col customWidth="1" hidden="1" min="11" max="11" outlineLevel="1" style="7" width="0"/>
    <col collapsed="1" customWidth="1" min="12" max="12" style="5" width="11.550000000000001"/>
    <col customWidth="1" min="13" max="13" style="8" width="17.890000000000001"/>
    <col customWidth="1" min="14" max="14" style="8" width="7.1100000000000003"/>
    <col customWidth="1" min="15" max="15" style="8" width="17.890000000000001"/>
    <col customWidth="1" min="16" max="16" style="8" width="6.6699999999999999"/>
    <col customWidth="1" min="17" max="17" style="8" width="17.890000000000001"/>
    <col customWidth="1" min="18" max="18" style="8" width="6.6699999999999999"/>
    <col customWidth="0" hidden="1" min="19" max="21" style="0" width="10.779999999999999"/>
    <col customWidth="1" hidden="1" min="24" max="25" style="0" width="10.16"/>
  </cols>
  <sheetData>
    <row r="1" s="9" customFormat="1" ht="34.5" customHeight="1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6" t="s">
        <v>11</v>
      </c>
      <c r="N1" s="16" t="s">
        <v>12</v>
      </c>
      <c r="O1" s="16" t="s">
        <v>13</v>
      </c>
      <c r="P1" s="16" t="s">
        <v>12</v>
      </c>
      <c r="Q1" s="16" t="s">
        <v>14</v>
      </c>
      <c r="R1" s="16" t="s">
        <v>12</v>
      </c>
      <c r="X1" s="9" t="s">
        <v>15</v>
      </c>
      <c r="Y1" s="9" t="s">
        <v>16</v>
      </c>
    </row>
    <row r="2" s="17" customFormat="1" ht="14.25">
      <c r="A2" s="18" t="s">
        <v>17</v>
      </c>
      <c r="B2" s="18" t="s">
        <v>18</v>
      </c>
      <c r="C2" s="19">
        <v>13</v>
      </c>
      <c r="D2" s="20">
        <v>8</v>
      </c>
      <c r="E2" s="21"/>
      <c r="F2" s="22"/>
      <c r="G2" s="23" t="s">
        <v>19</v>
      </c>
      <c r="H2" s="24">
        <v>0.40000000000000002</v>
      </c>
      <c r="I2" s="25">
        <f t="shared" ref="I2:I9" si="0">IFERROR((C2*$H$2)+((D2*$H$4)+(E2*$H$5))*$H$3,"")</f>
        <v>10</v>
      </c>
      <c r="J2" s="25">
        <f t="shared" ref="J2:J9" si="1">IF(AND(M2="",O2="",Q2=""), I2, (I2*(100%- (S2+T2+U2)))+(M2*S2+O2*T2+Q2*U2))</f>
        <v>10</v>
      </c>
      <c r="K2" s="26" t="str">
        <f>IF($H$11="N",VLOOKUP(I2,Schlüssel!$A$2:$B$17,2,TRUE()),"")</f>
        <v/>
      </c>
      <c r="L2" s="27">
        <f t="shared" ref="L2:L9" si="2">IFERROR(IF(F2="",IF($H$11="P",ROUND(J2,0),""),IF($H$11="P",ROUND(J2*60%+F2*40%,0),"")),"")</f>
        <v>10</v>
      </c>
      <c r="M2" s="28"/>
      <c r="N2" s="29"/>
      <c r="O2" s="28"/>
      <c r="P2" s="29"/>
      <c r="Q2" s="28"/>
      <c r="R2" s="28"/>
      <c r="S2" s="30">
        <f t="shared" ref="S2:S9" si="3">IF(M2&gt;$C2,N2,0%)</f>
        <v>0</v>
      </c>
      <c r="T2" s="30">
        <f t="shared" ref="T2:T9" si="4">IF(O2&gt;$C2,P2,0%)</f>
        <v>0</v>
      </c>
      <c r="U2" s="30">
        <f t="shared" ref="U2:U9" si="5">IF(Q2&gt;$C2,R2,0%)</f>
        <v>0</v>
      </c>
      <c r="X2" s="31">
        <f t="shared" ref="X2:X35" si="6">$H$2</f>
        <v>0.40000000000000002</v>
      </c>
      <c r="Y2" s="31">
        <f t="shared" ref="Y2:Y35" si="7">$H$3</f>
        <v>0.59999999999999998</v>
      </c>
    </row>
    <row r="3" s="32" customFormat="1" ht="14.25">
      <c r="A3" s="18" t="s">
        <v>20</v>
      </c>
      <c r="B3" s="18" t="s">
        <v>21</v>
      </c>
      <c r="C3" s="19">
        <v>9</v>
      </c>
      <c r="D3" s="20">
        <v>2</v>
      </c>
      <c r="E3" s="33"/>
      <c r="F3" s="34"/>
      <c r="G3" s="35" t="s">
        <v>22</v>
      </c>
      <c r="H3" s="36">
        <f>100%-H2</f>
        <v>0.59999999999999998</v>
      </c>
      <c r="I3" s="25">
        <f t="shared" si="0"/>
        <v>4.7999999999999998</v>
      </c>
      <c r="J3" s="25">
        <f t="shared" si="1"/>
        <v>4.7999999999999998</v>
      </c>
      <c r="K3" s="26" t="str">
        <f>IF($H$11="N",VLOOKUP(I3,Schlüssel!$A$2:$B$17,2,TRUE()),"")</f>
        <v/>
      </c>
      <c r="L3" s="27">
        <f t="shared" si="2"/>
        <v>5</v>
      </c>
      <c r="M3" s="28"/>
      <c r="N3" s="29"/>
      <c r="O3" s="28"/>
      <c r="P3" s="29"/>
      <c r="Q3" s="28"/>
      <c r="R3" s="28"/>
      <c r="S3" s="30">
        <f t="shared" si="3"/>
        <v>0</v>
      </c>
      <c r="T3" s="30">
        <f t="shared" si="4"/>
        <v>0</v>
      </c>
      <c r="U3" s="30">
        <f t="shared" si="5"/>
        <v>0</v>
      </c>
      <c r="X3" s="31">
        <f t="shared" si="6"/>
        <v>0.40000000000000002</v>
      </c>
      <c r="Y3" s="31">
        <f t="shared" si="7"/>
        <v>0.59999999999999998</v>
      </c>
    </row>
    <row r="4" s="32" customFormat="1" ht="14.25">
      <c r="A4" s="18" t="s">
        <v>23</v>
      </c>
      <c r="B4" s="18" t="s">
        <v>24</v>
      </c>
      <c r="C4" s="19">
        <v>10</v>
      </c>
      <c r="D4" s="20">
        <v>6</v>
      </c>
      <c r="E4" s="33"/>
      <c r="F4" s="34"/>
      <c r="G4" s="35" t="s">
        <v>25</v>
      </c>
      <c r="H4" s="37">
        <v>1</v>
      </c>
      <c r="I4" s="25">
        <f t="shared" si="0"/>
        <v>7.5999999999999996</v>
      </c>
      <c r="J4" s="25">
        <f t="shared" si="1"/>
        <v>7.5999999999999996</v>
      </c>
      <c r="K4" s="26" t="str">
        <f>IF($H$11="N",VLOOKUP(I4,Schlüssel!$A$2:$B$17,2,TRUE()),"")</f>
        <v/>
      </c>
      <c r="L4" s="27">
        <f t="shared" si="2"/>
        <v>8</v>
      </c>
      <c r="M4" s="28"/>
      <c r="N4" s="29"/>
      <c r="O4" s="28"/>
      <c r="P4" s="29"/>
      <c r="Q4" s="28"/>
      <c r="R4" s="28"/>
      <c r="S4" s="30">
        <f t="shared" si="3"/>
        <v>0</v>
      </c>
      <c r="T4" s="30">
        <f t="shared" si="4"/>
        <v>0</v>
      </c>
      <c r="U4" s="30">
        <f t="shared" si="5"/>
        <v>0</v>
      </c>
      <c r="X4" s="31">
        <f t="shared" si="6"/>
        <v>0.40000000000000002</v>
      </c>
      <c r="Y4" s="31">
        <f t="shared" si="7"/>
        <v>0.59999999999999998</v>
      </c>
    </row>
    <row r="5" s="32" customFormat="1" ht="14.25">
      <c r="A5" s="18" t="s">
        <v>26</v>
      </c>
      <c r="B5" s="18" t="s">
        <v>27</v>
      </c>
      <c r="C5" s="19">
        <v>12</v>
      </c>
      <c r="D5" s="20">
        <v>11</v>
      </c>
      <c r="E5" s="33"/>
      <c r="F5" s="34"/>
      <c r="G5" s="35" t="s">
        <v>28</v>
      </c>
      <c r="H5" s="38">
        <f>100%-H4</f>
        <v>0</v>
      </c>
      <c r="I5" s="25">
        <f t="shared" si="0"/>
        <v>11.4</v>
      </c>
      <c r="J5" s="25">
        <f t="shared" si="1"/>
        <v>11.4</v>
      </c>
      <c r="K5" s="26" t="str">
        <f>IF($H$11="N",VLOOKUP(I5,Schlüssel!$A$2:$B$17,2,TRUE()),"")</f>
        <v/>
      </c>
      <c r="L5" s="27">
        <f t="shared" si="2"/>
        <v>11</v>
      </c>
      <c r="M5" s="28"/>
      <c r="N5" s="29"/>
      <c r="O5" s="28"/>
      <c r="P5" s="29"/>
      <c r="Q5" s="28"/>
      <c r="R5" s="28"/>
      <c r="S5" s="30">
        <f t="shared" si="3"/>
        <v>0</v>
      </c>
      <c r="T5" s="30">
        <f t="shared" si="4"/>
        <v>0</v>
      </c>
      <c r="U5" s="30">
        <f t="shared" si="5"/>
        <v>0</v>
      </c>
      <c r="X5" s="31">
        <f t="shared" si="6"/>
        <v>0.40000000000000002</v>
      </c>
      <c r="Y5" s="31">
        <f t="shared" si="7"/>
        <v>0.59999999999999998</v>
      </c>
    </row>
    <row r="6" s="32" customFormat="1" ht="14.25">
      <c r="A6" s="18" t="s">
        <v>29</v>
      </c>
      <c r="B6" s="18" t="s">
        <v>30</v>
      </c>
      <c r="C6" s="19">
        <v>10</v>
      </c>
      <c r="D6" s="20">
        <v>11</v>
      </c>
      <c r="E6" s="33"/>
      <c r="F6" s="34"/>
      <c r="G6" s="39"/>
      <c r="H6" s="40"/>
      <c r="I6" s="25">
        <f t="shared" si="0"/>
        <v>10.6</v>
      </c>
      <c r="J6" s="25">
        <f t="shared" si="1"/>
        <v>10.6</v>
      </c>
      <c r="K6" s="26" t="str">
        <f>IF($H$11="N",VLOOKUP(I6,Schlüssel!$A$2:$B$17,2,TRUE()),"")</f>
        <v/>
      </c>
      <c r="L6" s="27">
        <f t="shared" si="2"/>
        <v>11</v>
      </c>
      <c r="M6" s="28"/>
      <c r="N6" s="29"/>
      <c r="O6" s="28"/>
      <c r="P6" s="29"/>
      <c r="Q6" s="28"/>
      <c r="R6" s="28"/>
      <c r="S6" s="30">
        <f t="shared" si="3"/>
        <v>0</v>
      </c>
      <c r="T6" s="30">
        <f t="shared" si="4"/>
        <v>0</v>
      </c>
      <c r="U6" s="30">
        <f t="shared" si="5"/>
        <v>0</v>
      </c>
      <c r="X6" s="31">
        <f t="shared" si="6"/>
        <v>0.40000000000000002</v>
      </c>
      <c r="Y6" s="31">
        <f t="shared" si="7"/>
        <v>0.59999999999999998</v>
      </c>
    </row>
    <row r="7" s="32" customFormat="1" ht="16.149999999999999">
      <c r="A7" s="18" t="s">
        <v>31</v>
      </c>
      <c r="B7" s="18" t="s">
        <v>32</v>
      </c>
      <c r="C7" s="19">
        <v>14</v>
      </c>
      <c r="D7" s="20">
        <v>13</v>
      </c>
      <c r="E7" s="33"/>
      <c r="F7" s="34"/>
      <c r="G7" s="41" t="s">
        <v>33</v>
      </c>
      <c r="H7" s="36">
        <f>H2+H3</f>
        <v>1</v>
      </c>
      <c r="I7" s="25">
        <f t="shared" si="0"/>
        <v>13.4</v>
      </c>
      <c r="J7" s="25">
        <f t="shared" si="1"/>
        <v>13.4</v>
      </c>
      <c r="K7" s="26" t="str">
        <f>IF($H$11="N",VLOOKUP(I7,Schlüssel!$A$2:$B$17,2,TRUE()),"")</f>
        <v/>
      </c>
      <c r="L7" s="27">
        <f t="shared" si="2"/>
        <v>13</v>
      </c>
      <c r="M7" s="28"/>
      <c r="N7" s="29"/>
      <c r="O7" s="28"/>
      <c r="P7" s="29"/>
      <c r="Q7" s="28"/>
      <c r="R7" s="28"/>
      <c r="S7" s="30">
        <f t="shared" si="3"/>
        <v>0</v>
      </c>
      <c r="T7" s="30">
        <f t="shared" si="4"/>
        <v>0</v>
      </c>
      <c r="U7" s="30">
        <f t="shared" si="5"/>
        <v>0</v>
      </c>
      <c r="X7" s="31">
        <f t="shared" si="6"/>
        <v>0.40000000000000002</v>
      </c>
      <c r="Y7" s="31">
        <f t="shared" si="7"/>
        <v>0.59999999999999998</v>
      </c>
    </row>
    <row r="8" s="32" customFormat="1" ht="14.25">
      <c r="A8" s="18" t="s">
        <v>34</v>
      </c>
      <c r="B8" s="18" t="s">
        <v>35</v>
      </c>
      <c r="C8" s="19">
        <v>14</v>
      </c>
      <c r="D8" s="20">
        <v>11</v>
      </c>
      <c r="E8" s="33"/>
      <c r="F8" s="34"/>
      <c r="G8" s="39"/>
      <c r="H8" s="40"/>
      <c r="I8" s="25">
        <f t="shared" si="0"/>
        <v>12.199999999999999</v>
      </c>
      <c r="J8" s="25">
        <f t="shared" si="1"/>
        <v>12.199999999999999</v>
      </c>
      <c r="K8" s="26" t="str">
        <f>IF($H$11="N",VLOOKUP(I8,Schlüssel!$A$2:$B$17,2,TRUE()),"")</f>
        <v/>
      </c>
      <c r="L8" s="27">
        <f t="shared" si="2"/>
        <v>12</v>
      </c>
      <c r="M8" s="28"/>
      <c r="N8" s="29"/>
      <c r="O8" s="28"/>
      <c r="P8" s="29"/>
      <c r="Q8" s="28"/>
      <c r="R8" s="28"/>
      <c r="S8" s="30">
        <f t="shared" si="3"/>
        <v>0</v>
      </c>
      <c r="T8" s="30">
        <f t="shared" si="4"/>
        <v>0</v>
      </c>
      <c r="U8" s="30">
        <f t="shared" si="5"/>
        <v>0</v>
      </c>
      <c r="X8" s="31">
        <f t="shared" si="6"/>
        <v>0.40000000000000002</v>
      </c>
      <c r="Y8" s="31">
        <f t="shared" si="7"/>
        <v>0.59999999999999998</v>
      </c>
    </row>
    <row r="9" s="32" customFormat="1" ht="14.25">
      <c r="A9" s="18" t="s">
        <v>36</v>
      </c>
      <c r="B9" s="18" t="s">
        <v>37</v>
      </c>
      <c r="C9" s="19">
        <v>10</v>
      </c>
      <c r="D9" s="20">
        <v>3</v>
      </c>
      <c r="E9" s="33"/>
      <c r="F9" s="34"/>
      <c r="G9" s="39"/>
      <c r="H9" s="40"/>
      <c r="I9" s="25">
        <f t="shared" si="0"/>
        <v>5.7999999999999998</v>
      </c>
      <c r="J9" s="25">
        <f t="shared" si="1"/>
        <v>5.7999999999999998</v>
      </c>
      <c r="K9" s="26" t="str">
        <f>IF($H$11="N",VLOOKUP(I9,Schlüssel!$A$2:$B$17,2,TRUE()),"")</f>
        <v/>
      </c>
      <c r="L9" s="27">
        <f t="shared" si="2"/>
        <v>6</v>
      </c>
      <c r="M9" s="28"/>
      <c r="N9" s="29"/>
      <c r="O9" s="28"/>
      <c r="P9" s="29"/>
      <c r="Q9" s="28"/>
      <c r="R9" s="28"/>
      <c r="S9" s="30">
        <f t="shared" si="3"/>
        <v>0</v>
      </c>
      <c r="T9" s="30">
        <f t="shared" si="4"/>
        <v>0</v>
      </c>
      <c r="U9" s="30">
        <f t="shared" si="5"/>
        <v>0</v>
      </c>
      <c r="X9" s="31">
        <f t="shared" si="6"/>
        <v>0.40000000000000002</v>
      </c>
      <c r="Y9" s="31">
        <f t="shared" si="7"/>
        <v>0.59999999999999998</v>
      </c>
    </row>
    <row r="10" s="32" customFormat="1" ht="14.25">
      <c r="A10" s="18" t="s">
        <v>31</v>
      </c>
      <c r="B10" s="18" t="s">
        <v>38</v>
      </c>
      <c r="C10" s="19">
        <v>8</v>
      </c>
      <c r="D10" s="42" t="s">
        <v>39</v>
      </c>
      <c r="E10" s="33"/>
      <c r="F10" s="34"/>
      <c r="G10" s="39" t="s">
        <v>40</v>
      </c>
      <c r="H10" s="40"/>
      <c r="I10" s="25" t="str">
        <f t="shared" ref="I10:I35" si="8">IFERROR((C10*$H$2)+((D10*$H$4)+(E10*$H$5))*$H$3,"")</f>
        <v/>
      </c>
      <c r="J10" s="25" t="str">
        <f t="shared" ref="J10:J35" si="9">IF(AND(M10="",O10="",Q10=""), I10, (I10*(100%- (S10+T10+U10)))+(M10*S10+O10*T10+Q10*U10))</f>
        <v/>
      </c>
      <c r="K10" s="26" t="str">
        <f>IF($H$11="N",VLOOKUP(I10,Schlüssel!$A$2:$B$17,2,TRUE()),"")</f>
        <v/>
      </c>
      <c r="L10" s="27" t="str">
        <f>IFERROR(IF(F10="",IF($H$11="P",ROUND(J10,0),""),IF($H$11="P",ROUND(J10*60%+F10*40%,0),"")),"")</f>
        <v/>
      </c>
      <c r="M10" s="28"/>
      <c r="N10" s="29"/>
      <c r="O10" s="28"/>
      <c r="P10" s="29"/>
      <c r="Q10" s="28"/>
      <c r="R10" s="28"/>
      <c r="S10" s="30">
        <f t="shared" ref="S10:S35" si="10">IF(M10&gt;$C10,N10,0%)</f>
        <v>0</v>
      </c>
      <c r="T10" s="30">
        <f t="shared" ref="T10:T35" si="11">IF(O10&gt;$C10,P10,0%)</f>
        <v>0</v>
      </c>
      <c r="U10" s="30">
        <f t="shared" ref="U10:U35" si="12">IF(Q10&gt;$C10,R10,0%)</f>
        <v>0</v>
      </c>
      <c r="X10" s="31">
        <f t="shared" si="6"/>
        <v>0.40000000000000002</v>
      </c>
      <c r="Y10" s="31">
        <f t="shared" si="7"/>
        <v>0.59999999999999998</v>
      </c>
    </row>
    <row r="11" s="32" customFormat="1" ht="14.25">
      <c r="A11" s="18" t="s">
        <v>41</v>
      </c>
      <c r="B11" s="18" t="s">
        <v>42</v>
      </c>
      <c r="C11" s="19">
        <v>11</v>
      </c>
      <c r="D11" s="20">
        <v>4</v>
      </c>
      <c r="E11" s="33"/>
      <c r="F11" s="34"/>
      <c r="G11" s="43" t="s">
        <v>43</v>
      </c>
      <c r="H11" s="44" t="s">
        <v>44</v>
      </c>
      <c r="I11" s="25">
        <f t="shared" si="8"/>
        <v>6.8000000000000007</v>
      </c>
      <c r="J11" s="25">
        <f t="shared" si="9"/>
        <v>6.8000000000000007</v>
      </c>
      <c r="K11" s="26" t="str">
        <f>IF($H$11="N",VLOOKUP(I11,Schlüssel!$A$2:$B$17,2,TRUE()),"")</f>
        <v/>
      </c>
      <c r="L11" s="27">
        <f t="shared" ref="L11:L35" si="13">IFERROR(IF(F11="",IF($H$11="P",ROUND(J11,0),""),IF($H$11="P",ROUND(J11*60%+F11*40%,0),"")),"")</f>
        <v>7</v>
      </c>
      <c r="M11" s="28"/>
      <c r="N11" s="29"/>
      <c r="O11" s="28"/>
      <c r="P11" s="29"/>
      <c r="Q11" s="28"/>
      <c r="R11" s="28"/>
      <c r="S11" s="30">
        <f t="shared" si="10"/>
        <v>0</v>
      </c>
      <c r="T11" s="30">
        <f t="shared" si="11"/>
        <v>0</v>
      </c>
      <c r="U11" s="30">
        <f t="shared" si="12"/>
        <v>0</v>
      </c>
      <c r="X11" s="31">
        <f t="shared" si="6"/>
        <v>0.40000000000000002</v>
      </c>
      <c r="Y11" s="31">
        <f t="shared" si="7"/>
        <v>0.59999999999999998</v>
      </c>
    </row>
    <row r="12" s="32" customFormat="1" ht="14.25">
      <c r="A12" s="18" t="s">
        <v>45</v>
      </c>
      <c r="B12" s="18" t="s">
        <v>46</v>
      </c>
      <c r="C12" s="19">
        <v>9</v>
      </c>
      <c r="D12" s="20">
        <v>0</v>
      </c>
      <c r="E12" s="33"/>
      <c r="F12" s="34"/>
      <c r="G12" s="39"/>
      <c r="H12" s="40"/>
      <c r="I12" s="25">
        <f t="shared" si="8"/>
        <v>3.6000000000000001</v>
      </c>
      <c r="J12" s="25">
        <f t="shared" si="9"/>
        <v>3.6000000000000001</v>
      </c>
      <c r="K12" s="26" t="str">
        <f>IF($H$11="N",VLOOKUP(I12,Schlüssel!$A$2:$B$17,2,TRUE()),"")</f>
        <v/>
      </c>
      <c r="L12" s="27">
        <f t="shared" si="13"/>
        <v>4</v>
      </c>
      <c r="M12" s="28"/>
      <c r="N12" s="29"/>
      <c r="O12" s="28"/>
      <c r="P12" s="29"/>
      <c r="Q12" s="28"/>
      <c r="R12" s="28"/>
      <c r="S12" s="30">
        <f t="shared" si="10"/>
        <v>0</v>
      </c>
      <c r="T12" s="30">
        <f t="shared" si="11"/>
        <v>0</v>
      </c>
      <c r="U12" s="30">
        <f t="shared" si="12"/>
        <v>0</v>
      </c>
      <c r="X12" s="31">
        <f t="shared" si="6"/>
        <v>0.40000000000000002</v>
      </c>
      <c r="Y12" s="31">
        <f t="shared" si="7"/>
        <v>0.59999999999999998</v>
      </c>
    </row>
    <row r="13" s="32" customFormat="1" ht="14.25">
      <c r="A13" s="18" t="s">
        <v>47</v>
      </c>
      <c r="B13" s="18" t="s">
        <v>48</v>
      </c>
      <c r="C13" s="19">
        <v>10</v>
      </c>
      <c r="D13" s="20">
        <v>12</v>
      </c>
      <c r="E13" s="33"/>
      <c r="F13" s="34"/>
      <c r="G13" s="39"/>
      <c r="H13" s="40"/>
      <c r="I13" s="25">
        <f t="shared" si="8"/>
        <v>11.199999999999999</v>
      </c>
      <c r="J13" s="25">
        <f t="shared" si="9"/>
        <v>11.199999999999999</v>
      </c>
      <c r="K13" s="26" t="str">
        <f>IF($H$11="N",VLOOKUP(I13,Schlüssel!$A$2:$B$17,2,TRUE()),"")</f>
        <v/>
      </c>
      <c r="L13" s="27">
        <f t="shared" si="13"/>
        <v>11</v>
      </c>
      <c r="M13" s="28"/>
      <c r="N13" s="29"/>
      <c r="O13" s="28"/>
      <c r="P13" s="29"/>
      <c r="Q13" s="28"/>
      <c r="R13" s="28"/>
      <c r="S13" s="30">
        <f t="shared" si="10"/>
        <v>0</v>
      </c>
      <c r="T13" s="30">
        <f t="shared" si="11"/>
        <v>0</v>
      </c>
      <c r="U13" s="30">
        <f t="shared" si="12"/>
        <v>0</v>
      </c>
      <c r="X13" s="31">
        <f t="shared" si="6"/>
        <v>0.40000000000000002</v>
      </c>
      <c r="Y13" s="31">
        <f t="shared" si="7"/>
        <v>0.59999999999999998</v>
      </c>
    </row>
    <row r="14" s="32" customFormat="1" ht="14.25">
      <c r="A14" s="18" t="s">
        <v>49</v>
      </c>
      <c r="B14" s="18" t="s">
        <v>50</v>
      </c>
      <c r="C14" s="19">
        <v>13</v>
      </c>
      <c r="D14" s="20">
        <v>13</v>
      </c>
      <c r="E14" s="33"/>
      <c r="F14" s="34"/>
      <c r="G14" s="39"/>
      <c r="H14" s="40"/>
      <c r="I14" s="25">
        <f t="shared" si="8"/>
        <v>13</v>
      </c>
      <c r="J14" s="25">
        <f t="shared" si="9"/>
        <v>13</v>
      </c>
      <c r="K14" s="26" t="str">
        <f>IF($H$11="N",VLOOKUP(I14,Schlüssel!$A$2:$B$17,2,TRUE()),"")</f>
        <v/>
      </c>
      <c r="L14" s="27">
        <f t="shared" si="13"/>
        <v>13</v>
      </c>
      <c r="M14" s="28"/>
      <c r="N14" s="29"/>
      <c r="O14" s="28"/>
      <c r="P14" s="29"/>
      <c r="Q14" s="28"/>
      <c r="R14" s="28"/>
      <c r="S14" s="30">
        <f t="shared" si="10"/>
        <v>0</v>
      </c>
      <c r="T14" s="30">
        <f t="shared" si="11"/>
        <v>0</v>
      </c>
      <c r="U14" s="30">
        <f t="shared" si="12"/>
        <v>0</v>
      </c>
      <c r="X14" s="31">
        <f t="shared" si="6"/>
        <v>0.40000000000000002</v>
      </c>
      <c r="Y14" s="31">
        <f t="shared" si="7"/>
        <v>0.59999999999999998</v>
      </c>
    </row>
    <row r="15" s="32" customFormat="1" ht="14.25">
      <c r="A15" s="18" t="s">
        <v>51</v>
      </c>
      <c r="B15" s="18" t="s">
        <v>52</v>
      </c>
      <c r="C15" s="19">
        <v>11</v>
      </c>
      <c r="D15" s="20">
        <v>5</v>
      </c>
      <c r="E15" s="33"/>
      <c r="F15" s="34"/>
      <c r="G15" s="39"/>
      <c r="H15" s="40"/>
      <c r="I15" s="25">
        <f t="shared" si="8"/>
        <v>7.4000000000000004</v>
      </c>
      <c r="J15" s="25">
        <f t="shared" si="9"/>
        <v>7.4000000000000004</v>
      </c>
      <c r="K15" s="26" t="str">
        <f>IF($H$11="N",VLOOKUP(I15,Schlüssel!$A$2:$B$17,2,TRUE()),"")</f>
        <v/>
      </c>
      <c r="L15" s="27">
        <f t="shared" si="13"/>
        <v>7</v>
      </c>
      <c r="M15" s="28"/>
      <c r="N15" s="29"/>
      <c r="O15" s="28"/>
      <c r="P15" s="29"/>
      <c r="Q15" s="28"/>
      <c r="R15" s="28"/>
      <c r="S15" s="30">
        <f t="shared" si="10"/>
        <v>0</v>
      </c>
      <c r="T15" s="30">
        <f t="shared" si="11"/>
        <v>0</v>
      </c>
      <c r="U15" s="30">
        <f t="shared" si="12"/>
        <v>0</v>
      </c>
      <c r="X15" s="31">
        <f t="shared" si="6"/>
        <v>0.40000000000000002</v>
      </c>
      <c r="Y15" s="31">
        <f t="shared" si="7"/>
        <v>0.59999999999999998</v>
      </c>
    </row>
    <row r="16" s="32" customFormat="1" ht="14.25">
      <c r="A16" t="s">
        <v>53</v>
      </c>
      <c r="B16" t="s">
        <v>54</v>
      </c>
      <c r="C16" s="19">
        <v>14</v>
      </c>
      <c r="D16" s="20">
        <v>15</v>
      </c>
      <c r="E16" s="33"/>
      <c r="F16" s="34"/>
      <c r="G16" s="39"/>
      <c r="H16" s="40"/>
      <c r="I16" s="25">
        <f t="shared" si="8"/>
        <v>14.600000000000001</v>
      </c>
      <c r="J16" s="25">
        <f t="shared" si="9"/>
        <v>14.600000000000001</v>
      </c>
      <c r="K16" s="26" t="str">
        <f>IF($H$11="N",VLOOKUP(I16,Schlüssel!$A$2:$B$17,2,TRUE()),"")</f>
        <v/>
      </c>
      <c r="L16" s="27">
        <f t="shared" si="13"/>
        <v>15</v>
      </c>
      <c r="M16" s="28"/>
      <c r="N16" s="29"/>
      <c r="O16" s="28"/>
      <c r="P16" s="29"/>
      <c r="Q16" s="28"/>
      <c r="R16" s="28"/>
      <c r="S16" s="30">
        <f t="shared" si="10"/>
        <v>0</v>
      </c>
      <c r="T16" s="30">
        <f t="shared" si="11"/>
        <v>0</v>
      </c>
      <c r="U16" s="30">
        <f t="shared" si="12"/>
        <v>0</v>
      </c>
      <c r="X16" s="31">
        <f t="shared" si="6"/>
        <v>0.40000000000000002</v>
      </c>
      <c r="Y16" s="31">
        <f t="shared" si="7"/>
        <v>0.59999999999999998</v>
      </c>
    </row>
    <row r="17" s="32" customFormat="1" ht="14.25">
      <c r="A17" s="18" t="s">
        <v>55</v>
      </c>
      <c r="B17" s="18" t="s">
        <v>56</v>
      </c>
      <c r="C17" s="19">
        <v>14</v>
      </c>
      <c r="D17" s="20">
        <v>12</v>
      </c>
      <c r="E17" s="33"/>
      <c r="F17" s="34"/>
      <c r="G17" s="39"/>
      <c r="H17" s="40"/>
      <c r="I17" s="25">
        <f t="shared" si="8"/>
        <v>12.800000000000001</v>
      </c>
      <c r="J17" s="25">
        <f t="shared" si="9"/>
        <v>12.800000000000001</v>
      </c>
      <c r="K17" s="26" t="str">
        <f>IF($H$11="N",VLOOKUP(I17,Schlüssel!$A$2:$B$17,2,TRUE()),"")</f>
        <v/>
      </c>
      <c r="L17" s="27">
        <f t="shared" si="13"/>
        <v>13</v>
      </c>
      <c r="M17" s="28"/>
      <c r="N17" s="29"/>
      <c r="O17" s="28"/>
      <c r="P17" s="29"/>
      <c r="Q17" s="28"/>
      <c r="R17" s="28"/>
      <c r="S17" s="30">
        <f t="shared" si="10"/>
        <v>0</v>
      </c>
      <c r="T17" s="30">
        <f t="shared" si="11"/>
        <v>0</v>
      </c>
      <c r="U17" s="30">
        <f t="shared" si="12"/>
        <v>0</v>
      </c>
      <c r="X17" s="31">
        <f t="shared" si="6"/>
        <v>0.40000000000000002</v>
      </c>
      <c r="Y17" s="31">
        <f t="shared" si="7"/>
        <v>0.59999999999999998</v>
      </c>
    </row>
    <row r="18" s="32" customFormat="1" ht="14.25">
      <c r="A18" s="18" t="s">
        <v>57</v>
      </c>
      <c r="B18" s="18" t="s">
        <v>58</v>
      </c>
      <c r="C18" s="19">
        <v>13</v>
      </c>
      <c r="D18" s="20">
        <v>11</v>
      </c>
      <c r="E18" s="33"/>
      <c r="F18" s="34"/>
      <c r="G18" s="39"/>
      <c r="H18" s="40"/>
      <c r="I18" s="25">
        <f t="shared" si="8"/>
        <v>11.800000000000001</v>
      </c>
      <c r="J18" s="25">
        <f t="shared" si="9"/>
        <v>11.800000000000001</v>
      </c>
      <c r="K18" s="26" t="str">
        <f>IF($H$11="N",VLOOKUP(I18,Schlüssel!$A$2:$B$17,2,TRUE()),"")</f>
        <v/>
      </c>
      <c r="L18" s="27">
        <f t="shared" si="13"/>
        <v>12</v>
      </c>
      <c r="M18" s="28"/>
      <c r="N18" s="29"/>
      <c r="O18" s="28"/>
      <c r="P18" s="29"/>
      <c r="Q18" s="28"/>
      <c r="R18" s="28"/>
      <c r="S18" s="30">
        <f t="shared" si="10"/>
        <v>0</v>
      </c>
      <c r="T18" s="30">
        <f t="shared" si="11"/>
        <v>0</v>
      </c>
      <c r="U18" s="30">
        <f t="shared" si="12"/>
        <v>0</v>
      </c>
      <c r="X18" s="31">
        <f t="shared" si="6"/>
        <v>0.40000000000000002</v>
      </c>
      <c r="Y18" s="31">
        <f t="shared" si="7"/>
        <v>0.59999999999999998</v>
      </c>
    </row>
    <row r="19" s="32" customFormat="1" ht="14.25">
      <c r="A19" s="18" t="s">
        <v>59</v>
      </c>
      <c r="B19" s="18" t="s">
        <v>60</v>
      </c>
      <c r="C19" s="19">
        <v>11</v>
      </c>
      <c r="D19" s="20">
        <v>8</v>
      </c>
      <c r="E19" s="33"/>
      <c r="F19" s="34"/>
      <c r="G19" s="39"/>
      <c r="H19" s="40"/>
      <c r="I19" s="25">
        <f t="shared" si="8"/>
        <v>9.1999999999999993</v>
      </c>
      <c r="J19" s="25">
        <f t="shared" si="9"/>
        <v>9.1999999999999993</v>
      </c>
      <c r="K19" s="26" t="str">
        <f>IF($H$11="N",VLOOKUP(I19,Schlüssel!$A$2:$B$17,2,TRUE()),"")</f>
        <v/>
      </c>
      <c r="L19" s="27">
        <f t="shared" si="13"/>
        <v>9</v>
      </c>
      <c r="M19" s="28"/>
      <c r="N19" s="29"/>
      <c r="O19" s="28"/>
      <c r="P19" s="29"/>
      <c r="Q19" s="28"/>
      <c r="R19" s="28"/>
      <c r="S19" s="30">
        <f t="shared" si="10"/>
        <v>0</v>
      </c>
      <c r="T19" s="30">
        <f t="shared" si="11"/>
        <v>0</v>
      </c>
      <c r="U19" s="30">
        <f t="shared" si="12"/>
        <v>0</v>
      </c>
      <c r="X19" s="31">
        <f t="shared" si="6"/>
        <v>0.40000000000000002</v>
      </c>
      <c r="Y19" s="31">
        <f t="shared" si="7"/>
        <v>0.59999999999999998</v>
      </c>
    </row>
    <row r="20" s="32" customFormat="1" ht="14.25">
      <c r="A20" s="17"/>
      <c r="B20" s="17"/>
      <c r="C20" s="19">
        <v>0</v>
      </c>
      <c r="D20" s="20">
        <f>Klausur1!N20</f>
        <v>0</v>
      </c>
      <c r="E20" s="33"/>
      <c r="F20" s="34"/>
      <c r="G20" s="39"/>
      <c r="H20" s="40"/>
      <c r="I20" s="25">
        <f t="shared" si="8"/>
        <v>0</v>
      </c>
      <c r="J20" s="25">
        <f t="shared" si="9"/>
        <v>0</v>
      </c>
      <c r="K20" s="26" t="str">
        <f>IF($H$11="N",VLOOKUP(I20,Schlüssel!$A$2:$B$17,2,TRUE()),"")</f>
        <v/>
      </c>
      <c r="L20" s="27">
        <f t="shared" si="13"/>
        <v>0</v>
      </c>
      <c r="M20" s="28"/>
      <c r="N20" s="29"/>
      <c r="O20" s="28"/>
      <c r="P20" s="29"/>
      <c r="Q20" s="28"/>
      <c r="R20" s="28"/>
      <c r="S20" s="30">
        <f t="shared" si="10"/>
        <v>0</v>
      </c>
      <c r="T20" s="30">
        <f t="shared" si="11"/>
        <v>0</v>
      </c>
      <c r="U20" s="30">
        <f t="shared" si="12"/>
        <v>0</v>
      </c>
      <c r="X20" s="31">
        <f t="shared" si="6"/>
        <v>0.40000000000000002</v>
      </c>
      <c r="Y20" s="31">
        <f t="shared" si="7"/>
        <v>0.59999999999999998</v>
      </c>
    </row>
    <row r="21" s="32" customFormat="1" ht="14.25">
      <c r="A21" s="17"/>
      <c r="B21" s="17"/>
      <c r="C21" s="19">
        <v>0</v>
      </c>
      <c r="D21" s="20">
        <f>Klausur1!N21</f>
        <v>0</v>
      </c>
      <c r="E21" s="33"/>
      <c r="F21" s="34"/>
      <c r="G21" s="39"/>
      <c r="H21" s="40"/>
      <c r="I21" s="25">
        <f t="shared" si="8"/>
        <v>0</v>
      </c>
      <c r="J21" s="25">
        <f t="shared" si="9"/>
        <v>0</v>
      </c>
      <c r="K21" s="26" t="str">
        <f>IF($H$11="N",VLOOKUP(I21,Schlüssel!$A$2:$B$17,2,TRUE()),"")</f>
        <v/>
      </c>
      <c r="L21" s="27">
        <f t="shared" si="13"/>
        <v>0</v>
      </c>
      <c r="M21" s="28"/>
      <c r="N21" s="29"/>
      <c r="O21" s="28"/>
      <c r="P21" s="29"/>
      <c r="Q21" s="28"/>
      <c r="R21" s="28"/>
      <c r="S21" s="30">
        <f t="shared" si="10"/>
        <v>0</v>
      </c>
      <c r="T21" s="30">
        <f t="shared" si="11"/>
        <v>0</v>
      </c>
      <c r="U21" s="30">
        <f t="shared" si="12"/>
        <v>0</v>
      </c>
      <c r="X21" s="31">
        <f t="shared" si="6"/>
        <v>0.40000000000000002</v>
      </c>
      <c r="Y21" s="31">
        <f t="shared" si="7"/>
        <v>0.59999999999999998</v>
      </c>
    </row>
    <row r="22" s="32" customFormat="1" ht="14.25">
      <c r="A22" s="17"/>
      <c r="B22" s="17"/>
      <c r="C22" s="19">
        <v>0</v>
      </c>
      <c r="D22" s="20">
        <f>Klausur1!N22</f>
        <v>0</v>
      </c>
      <c r="E22" s="33"/>
      <c r="F22" s="34"/>
      <c r="G22" s="39"/>
      <c r="H22" s="40"/>
      <c r="I22" s="25">
        <f t="shared" si="8"/>
        <v>0</v>
      </c>
      <c r="J22" s="25">
        <f t="shared" si="9"/>
        <v>0</v>
      </c>
      <c r="K22" s="26" t="str">
        <f>IF($H$11="N",VLOOKUP(I22,Schlüssel!$A$2:$B$17,2,TRUE()),"")</f>
        <v/>
      </c>
      <c r="L22" s="27">
        <f t="shared" si="13"/>
        <v>0</v>
      </c>
      <c r="M22" s="28"/>
      <c r="N22" s="29"/>
      <c r="O22" s="28"/>
      <c r="P22" s="29"/>
      <c r="Q22" s="28"/>
      <c r="R22" s="28"/>
      <c r="S22" s="30">
        <f t="shared" si="10"/>
        <v>0</v>
      </c>
      <c r="T22" s="30">
        <f t="shared" si="11"/>
        <v>0</v>
      </c>
      <c r="U22" s="30">
        <f t="shared" si="12"/>
        <v>0</v>
      </c>
      <c r="X22" s="31">
        <f t="shared" si="6"/>
        <v>0.40000000000000002</v>
      </c>
      <c r="Y22" s="31">
        <f t="shared" si="7"/>
        <v>0.59999999999999998</v>
      </c>
    </row>
    <row r="23" s="32" customFormat="1" ht="14.25">
      <c r="A23" s="17"/>
      <c r="B23" s="17"/>
      <c r="C23" s="19">
        <v>0</v>
      </c>
      <c r="D23" s="20">
        <f>Klausur1!N23</f>
        <v>0</v>
      </c>
      <c r="E23" s="33"/>
      <c r="F23" s="34"/>
      <c r="G23" s="39"/>
      <c r="H23" s="40"/>
      <c r="I23" s="25">
        <f t="shared" si="8"/>
        <v>0</v>
      </c>
      <c r="J23" s="25">
        <f t="shared" si="9"/>
        <v>0</v>
      </c>
      <c r="K23" s="26" t="str">
        <f>IF($H$11="N",VLOOKUP(I23,Schlüssel!$A$2:$B$17,2,TRUE()),"")</f>
        <v/>
      </c>
      <c r="L23" s="27">
        <f t="shared" si="13"/>
        <v>0</v>
      </c>
      <c r="M23" s="28"/>
      <c r="N23" s="29"/>
      <c r="O23" s="28"/>
      <c r="P23" s="29"/>
      <c r="Q23" s="28"/>
      <c r="R23" s="28"/>
      <c r="S23" s="30">
        <f t="shared" si="10"/>
        <v>0</v>
      </c>
      <c r="T23" s="30">
        <f t="shared" si="11"/>
        <v>0</v>
      </c>
      <c r="U23" s="30">
        <f t="shared" si="12"/>
        <v>0</v>
      </c>
      <c r="X23" s="31">
        <f t="shared" si="6"/>
        <v>0.40000000000000002</v>
      </c>
      <c r="Y23" s="31">
        <f t="shared" si="7"/>
        <v>0.59999999999999998</v>
      </c>
    </row>
    <row r="24" s="32" customFormat="1" ht="14.25">
      <c r="A24" s="17"/>
      <c r="B24" s="17"/>
      <c r="C24" s="19">
        <v>0</v>
      </c>
      <c r="D24" s="20">
        <f>Klausur1!N24</f>
        <v>0</v>
      </c>
      <c r="E24" s="33"/>
      <c r="F24" s="34"/>
      <c r="G24" s="39"/>
      <c r="H24" s="40"/>
      <c r="I24" s="25">
        <f t="shared" si="8"/>
        <v>0</v>
      </c>
      <c r="J24" s="25">
        <f t="shared" si="9"/>
        <v>0</v>
      </c>
      <c r="K24" s="26" t="str">
        <f>IF($H$11="N",VLOOKUP(I24,Schlüssel!$A$2:$B$17,2,TRUE()),"")</f>
        <v/>
      </c>
      <c r="L24" s="27">
        <f t="shared" si="13"/>
        <v>0</v>
      </c>
      <c r="M24" s="28"/>
      <c r="N24" s="29"/>
      <c r="O24" s="28"/>
      <c r="P24" s="29"/>
      <c r="Q24" s="28"/>
      <c r="R24" s="28"/>
      <c r="S24" s="30">
        <f t="shared" si="10"/>
        <v>0</v>
      </c>
      <c r="T24" s="30">
        <f t="shared" si="11"/>
        <v>0</v>
      </c>
      <c r="U24" s="30">
        <f t="shared" si="12"/>
        <v>0</v>
      </c>
      <c r="X24" s="31">
        <f t="shared" si="6"/>
        <v>0.40000000000000002</v>
      </c>
      <c r="Y24" s="31">
        <f t="shared" si="7"/>
        <v>0.59999999999999998</v>
      </c>
    </row>
    <row r="25" s="32" customFormat="1" ht="14.25">
      <c r="A25" s="17"/>
      <c r="B25" s="17"/>
      <c r="C25" s="19">
        <v>0</v>
      </c>
      <c r="D25" s="20">
        <f>Klausur1!N25</f>
        <v>0</v>
      </c>
      <c r="E25" s="33"/>
      <c r="F25" s="34"/>
      <c r="G25" s="39"/>
      <c r="H25" s="40"/>
      <c r="I25" s="25">
        <f t="shared" si="8"/>
        <v>0</v>
      </c>
      <c r="J25" s="25">
        <f t="shared" si="9"/>
        <v>0</v>
      </c>
      <c r="K25" s="26" t="str">
        <f>IF($H$11="N",VLOOKUP(I25,Schlüssel!$A$2:$B$17,2,TRUE()),"")</f>
        <v/>
      </c>
      <c r="L25" s="27">
        <f t="shared" si="13"/>
        <v>0</v>
      </c>
      <c r="M25" s="28"/>
      <c r="N25" s="29"/>
      <c r="O25" s="28"/>
      <c r="P25" s="29"/>
      <c r="Q25" s="28"/>
      <c r="R25" s="28"/>
      <c r="S25" s="30">
        <f t="shared" si="10"/>
        <v>0</v>
      </c>
      <c r="T25" s="30">
        <f t="shared" si="11"/>
        <v>0</v>
      </c>
      <c r="U25" s="30">
        <f t="shared" si="12"/>
        <v>0</v>
      </c>
      <c r="X25" s="31">
        <f t="shared" si="6"/>
        <v>0.40000000000000002</v>
      </c>
      <c r="Y25" s="31">
        <f t="shared" si="7"/>
        <v>0.59999999999999998</v>
      </c>
    </row>
    <row r="26" s="32" customFormat="1" ht="14.25">
      <c r="A26" s="17"/>
      <c r="B26" s="17"/>
      <c r="C26" s="19">
        <v>0</v>
      </c>
      <c r="D26" s="20">
        <f>Klausur1!N26</f>
        <v>0</v>
      </c>
      <c r="E26" s="33"/>
      <c r="F26" s="34"/>
      <c r="G26" s="39"/>
      <c r="H26" s="40"/>
      <c r="I26" s="25">
        <f t="shared" si="8"/>
        <v>0</v>
      </c>
      <c r="J26" s="25">
        <f t="shared" si="9"/>
        <v>0</v>
      </c>
      <c r="K26" s="26" t="str">
        <f>IF($H$11="N",VLOOKUP(I26,Schlüssel!$A$2:$B$17,2,TRUE()),"")</f>
        <v/>
      </c>
      <c r="L26" s="27">
        <f t="shared" si="13"/>
        <v>0</v>
      </c>
      <c r="M26" s="28"/>
      <c r="N26" s="29"/>
      <c r="O26" s="28"/>
      <c r="P26" s="29"/>
      <c r="Q26" s="28"/>
      <c r="R26" s="28"/>
      <c r="S26" s="30">
        <f t="shared" si="10"/>
        <v>0</v>
      </c>
      <c r="T26" s="30">
        <f t="shared" si="11"/>
        <v>0</v>
      </c>
      <c r="U26" s="30">
        <f t="shared" si="12"/>
        <v>0</v>
      </c>
      <c r="X26" s="31">
        <f t="shared" si="6"/>
        <v>0.40000000000000002</v>
      </c>
      <c r="Y26" s="31">
        <f t="shared" si="7"/>
        <v>0.59999999999999998</v>
      </c>
    </row>
    <row r="27" s="32" customFormat="1" ht="14.25">
      <c r="A27" s="17"/>
      <c r="B27" s="17"/>
      <c r="C27" s="19">
        <v>0</v>
      </c>
      <c r="D27" s="20">
        <f>Klausur1!N27</f>
        <v>0</v>
      </c>
      <c r="E27" s="33"/>
      <c r="F27" s="34"/>
      <c r="G27" s="39"/>
      <c r="H27" s="40"/>
      <c r="I27" s="25">
        <f t="shared" si="8"/>
        <v>0</v>
      </c>
      <c r="J27" s="25">
        <f t="shared" si="9"/>
        <v>0</v>
      </c>
      <c r="K27" s="26" t="str">
        <f>IF($H$11="N",VLOOKUP(I27,Schlüssel!$A$2:$B$17,2,TRUE()),"")</f>
        <v/>
      </c>
      <c r="L27" s="27">
        <f t="shared" si="13"/>
        <v>0</v>
      </c>
      <c r="M27" s="28"/>
      <c r="N27" s="29"/>
      <c r="O27" s="28"/>
      <c r="P27" s="29"/>
      <c r="Q27" s="28"/>
      <c r="R27" s="28"/>
      <c r="S27" s="30">
        <f t="shared" si="10"/>
        <v>0</v>
      </c>
      <c r="T27" s="30">
        <f t="shared" si="11"/>
        <v>0</v>
      </c>
      <c r="U27" s="30">
        <f t="shared" si="12"/>
        <v>0</v>
      </c>
      <c r="X27" s="31">
        <f t="shared" si="6"/>
        <v>0.40000000000000002</v>
      </c>
      <c r="Y27" s="31">
        <f t="shared" si="7"/>
        <v>0.59999999999999998</v>
      </c>
    </row>
    <row r="28" s="32" customFormat="1" ht="14.25">
      <c r="A28" s="17"/>
      <c r="B28" s="17"/>
      <c r="C28" s="19">
        <v>0</v>
      </c>
      <c r="D28" s="20">
        <f>Klausur1!N28</f>
        <v>0</v>
      </c>
      <c r="E28" s="33"/>
      <c r="F28" s="34"/>
      <c r="G28" s="39"/>
      <c r="H28" s="40"/>
      <c r="I28" s="25">
        <f t="shared" si="8"/>
        <v>0</v>
      </c>
      <c r="J28" s="25">
        <f t="shared" si="9"/>
        <v>0</v>
      </c>
      <c r="K28" s="26" t="str">
        <f>IF($H$11="N",VLOOKUP(I28,Schlüssel!$A$2:$B$17,2,TRUE()),"")</f>
        <v/>
      </c>
      <c r="L28" s="27">
        <f t="shared" si="13"/>
        <v>0</v>
      </c>
      <c r="M28" s="28"/>
      <c r="N28" s="29"/>
      <c r="O28" s="28"/>
      <c r="P28" s="29"/>
      <c r="Q28" s="28"/>
      <c r="R28" s="28"/>
      <c r="S28" s="30">
        <f t="shared" si="10"/>
        <v>0</v>
      </c>
      <c r="T28" s="30">
        <f t="shared" si="11"/>
        <v>0</v>
      </c>
      <c r="U28" s="30">
        <f t="shared" si="12"/>
        <v>0</v>
      </c>
      <c r="X28" s="31">
        <f t="shared" si="6"/>
        <v>0.40000000000000002</v>
      </c>
      <c r="Y28" s="31">
        <f t="shared" si="7"/>
        <v>0.59999999999999998</v>
      </c>
    </row>
    <row r="29" s="32" customFormat="1" ht="14.25">
      <c r="A29" s="17"/>
      <c r="B29" s="17"/>
      <c r="C29" s="19">
        <v>0</v>
      </c>
      <c r="D29" s="20">
        <f>Klausur1!N29</f>
        <v>0</v>
      </c>
      <c r="E29" s="33"/>
      <c r="F29" s="34"/>
      <c r="G29" s="39"/>
      <c r="H29" s="40"/>
      <c r="I29" s="25">
        <f t="shared" si="8"/>
        <v>0</v>
      </c>
      <c r="J29" s="25">
        <f t="shared" si="9"/>
        <v>0</v>
      </c>
      <c r="K29" s="26" t="str">
        <f>IF($H$11="N",VLOOKUP(I29,Schlüssel!$A$2:$B$17,2,TRUE()),"")</f>
        <v/>
      </c>
      <c r="L29" s="27">
        <f t="shared" si="13"/>
        <v>0</v>
      </c>
      <c r="M29" s="28"/>
      <c r="N29" s="29"/>
      <c r="O29" s="28"/>
      <c r="P29" s="29"/>
      <c r="Q29" s="28"/>
      <c r="R29" s="28"/>
      <c r="S29" s="30">
        <f t="shared" si="10"/>
        <v>0</v>
      </c>
      <c r="T29" s="30">
        <f t="shared" si="11"/>
        <v>0</v>
      </c>
      <c r="U29" s="30">
        <f t="shared" si="12"/>
        <v>0</v>
      </c>
      <c r="X29" s="31">
        <f t="shared" si="6"/>
        <v>0.40000000000000002</v>
      </c>
      <c r="Y29" s="31">
        <f t="shared" si="7"/>
        <v>0.59999999999999998</v>
      </c>
    </row>
    <row r="30" s="32" customFormat="1" ht="14.25">
      <c r="A30" s="17"/>
      <c r="B30" s="17"/>
      <c r="C30" s="19">
        <v>0</v>
      </c>
      <c r="D30" s="20">
        <f>Klausur1!N30</f>
        <v>0</v>
      </c>
      <c r="E30" s="33"/>
      <c r="F30" s="34"/>
      <c r="G30" s="39"/>
      <c r="H30" s="40"/>
      <c r="I30" s="25">
        <f t="shared" si="8"/>
        <v>0</v>
      </c>
      <c r="J30" s="25">
        <f t="shared" si="9"/>
        <v>0</v>
      </c>
      <c r="K30" s="26" t="str">
        <f>IF($H$11="N",VLOOKUP(I30,Schlüssel!$A$2:$B$17,2,TRUE()),"")</f>
        <v/>
      </c>
      <c r="L30" s="27">
        <f t="shared" si="13"/>
        <v>0</v>
      </c>
      <c r="M30" s="28"/>
      <c r="N30" s="29"/>
      <c r="O30" s="28"/>
      <c r="P30" s="29"/>
      <c r="Q30" s="28"/>
      <c r="R30" s="28"/>
      <c r="S30" s="30">
        <f t="shared" si="10"/>
        <v>0</v>
      </c>
      <c r="T30" s="30">
        <f t="shared" si="11"/>
        <v>0</v>
      </c>
      <c r="U30" s="30">
        <f t="shared" si="12"/>
        <v>0</v>
      </c>
      <c r="X30" s="31">
        <f t="shared" si="6"/>
        <v>0.40000000000000002</v>
      </c>
      <c r="Y30" s="31">
        <f t="shared" si="7"/>
        <v>0.59999999999999998</v>
      </c>
    </row>
    <row r="31" s="32" customFormat="1" ht="14.25">
      <c r="A31" s="17"/>
      <c r="B31" s="17"/>
      <c r="C31" s="19">
        <v>0</v>
      </c>
      <c r="D31" s="20">
        <f>Klausur1!N31</f>
        <v>0</v>
      </c>
      <c r="E31" s="33"/>
      <c r="F31" s="34"/>
      <c r="G31" s="39"/>
      <c r="H31" s="40"/>
      <c r="I31" s="25">
        <f t="shared" si="8"/>
        <v>0</v>
      </c>
      <c r="J31" s="25">
        <f t="shared" si="9"/>
        <v>0</v>
      </c>
      <c r="K31" s="26" t="str">
        <f>IF($H$11="N",VLOOKUP(I31,Schlüssel!$A$2:$B$17,2,TRUE()),"")</f>
        <v/>
      </c>
      <c r="L31" s="27">
        <f t="shared" si="13"/>
        <v>0</v>
      </c>
      <c r="M31" s="28"/>
      <c r="N31" s="29"/>
      <c r="O31" s="28"/>
      <c r="P31" s="29"/>
      <c r="Q31" s="28"/>
      <c r="R31" s="28"/>
      <c r="S31" s="30">
        <f t="shared" si="10"/>
        <v>0</v>
      </c>
      <c r="T31" s="30">
        <f t="shared" si="11"/>
        <v>0</v>
      </c>
      <c r="U31" s="30">
        <f t="shared" si="12"/>
        <v>0</v>
      </c>
      <c r="X31" s="31">
        <f t="shared" si="6"/>
        <v>0.40000000000000002</v>
      </c>
      <c r="Y31" s="31">
        <f t="shared" si="7"/>
        <v>0.59999999999999998</v>
      </c>
    </row>
    <row r="32" s="32" customFormat="1" ht="14.25">
      <c r="A32" s="17"/>
      <c r="B32" s="17"/>
      <c r="C32" s="19">
        <v>0</v>
      </c>
      <c r="D32" s="20">
        <f>Klausur1!N32</f>
        <v>0</v>
      </c>
      <c r="E32" s="33"/>
      <c r="F32" s="34"/>
      <c r="G32" s="39"/>
      <c r="H32" s="40"/>
      <c r="I32" s="25">
        <f t="shared" si="8"/>
        <v>0</v>
      </c>
      <c r="J32" s="25">
        <f t="shared" si="9"/>
        <v>0</v>
      </c>
      <c r="K32" s="26" t="str">
        <f>IF($H$11="N",VLOOKUP(I32,Schlüssel!$A$2:$B$17,2,TRUE()),"")</f>
        <v/>
      </c>
      <c r="L32" s="27">
        <f t="shared" si="13"/>
        <v>0</v>
      </c>
      <c r="M32" s="28"/>
      <c r="N32" s="29"/>
      <c r="O32" s="28"/>
      <c r="P32" s="29"/>
      <c r="Q32" s="28"/>
      <c r="R32" s="28"/>
      <c r="S32" s="30">
        <f t="shared" si="10"/>
        <v>0</v>
      </c>
      <c r="T32" s="30">
        <f t="shared" si="11"/>
        <v>0</v>
      </c>
      <c r="U32" s="30">
        <f t="shared" si="12"/>
        <v>0</v>
      </c>
      <c r="X32" s="31">
        <f t="shared" si="6"/>
        <v>0.40000000000000002</v>
      </c>
      <c r="Y32" s="31">
        <f t="shared" si="7"/>
        <v>0.59999999999999998</v>
      </c>
    </row>
    <row r="33" s="32" customFormat="1" ht="14.25">
      <c r="A33" s="17"/>
      <c r="B33" s="17"/>
      <c r="C33" s="19">
        <v>0</v>
      </c>
      <c r="D33" s="20">
        <f>Klausur1!N33</f>
        <v>0</v>
      </c>
      <c r="E33" s="33"/>
      <c r="F33" s="34"/>
      <c r="G33" s="39"/>
      <c r="H33" s="40"/>
      <c r="I33" s="25">
        <f t="shared" si="8"/>
        <v>0</v>
      </c>
      <c r="J33" s="25">
        <f t="shared" si="9"/>
        <v>0</v>
      </c>
      <c r="K33" s="26" t="str">
        <f>IF($H$11="N",VLOOKUP(I33,Schlüssel!$A$2:$B$17,2,TRUE()),"")</f>
        <v/>
      </c>
      <c r="L33" s="27">
        <f t="shared" si="13"/>
        <v>0</v>
      </c>
      <c r="M33" s="28"/>
      <c r="N33" s="29"/>
      <c r="O33" s="28"/>
      <c r="P33" s="29"/>
      <c r="Q33" s="28"/>
      <c r="R33" s="28"/>
      <c r="S33" s="30">
        <f t="shared" si="10"/>
        <v>0</v>
      </c>
      <c r="T33" s="30">
        <f t="shared" si="11"/>
        <v>0</v>
      </c>
      <c r="U33" s="30">
        <f t="shared" si="12"/>
        <v>0</v>
      </c>
      <c r="X33" s="31">
        <f t="shared" si="6"/>
        <v>0.40000000000000002</v>
      </c>
      <c r="Y33" s="31">
        <f t="shared" si="7"/>
        <v>0.59999999999999998</v>
      </c>
    </row>
    <row r="34" s="32" customFormat="1" ht="14.25">
      <c r="A34" s="17"/>
      <c r="B34" s="17"/>
      <c r="C34" s="19">
        <v>0</v>
      </c>
      <c r="D34" s="20">
        <f>Klausur1!N34</f>
        <v>0</v>
      </c>
      <c r="E34" s="33"/>
      <c r="F34" s="34"/>
      <c r="G34" s="39"/>
      <c r="H34" s="40"/>
      <c r="I34" s="25">
        <f t="shared" si="8"/>
        <v>0</v>
      </c>
      <c r="J34" s="25">
        <f t="shared" si="9"/>
        <v>0</v>
      </c>
      <c r="K34" s="26" t="str">
        <f>IF($H$11="N",VLOOKUP(I34,Schlüssel!$A$2:$B$17,2,TRUE()),"")</f>
        <v/>
      </c>
      <c r="L34" s="27">
        <f t="shared" si="13"/>
        <v>0</v>
      </c>
      <c r="M34" s="28"/>
      <c r="N34" s="29"/>
      <c r="O34" s="28"/>
      <c r="P34" s="29"/>
      <c r="Q34" s="28"/>
      <c r="R34" s="28"/>
      <c r="S34" s="30">
        <f t="shared" si="10"/>
        <v>0</v>
      </c>
      <c r="T34" s="30">
        <f t="shared" si="11"/>
        <v>0</v>
      </c>
      <c r="U34" s="30">
        <f t="shared" si="12"/>
        <v>0</v>
      </c>
      <c r="X34" s="31">
        <f t="shared" si="6"/>
        <v>0.40000000000000002</v>
      </c>
      <c r="Y34" s="31">
        <f t="shared" si="7"/>
        <v>0.59999999999999998</v>
      </c>
    </row>
    <row r="35" s="32" customFormat="1" ht="14.25">
      <c r="A35" s="17"/>
      <c r="B35" s="17"/>
      <c r="C35" s="19">
        <v>0</v>
      </c>
      <c r="D35" s="20">
        <f>Klausur1!N35</f>
        <v>0</v>
      </c>
      <c r="E35" s="33"/>
      <c r="F35" s="34"/>
      <c r="G35" s="39"/>
      <c r="H35" s="40"/>
      <c r="I35" s="25">
        <f t="shared" si="8"/>
        <v>0</v>
      </c>
      <c r="J35" s="25">
        <f t="shared" si="9"/>
        <v>0</v>
      </c>
      <c r="K35" s="26" t="str">
        <f>IF($H$11="N",VLOOKUP(I35,Schlüssel!$A$2:$B$17,2,TRUE()),"")</f>
        <v/>
      </c>
      <c r="L35" s="27">
        <f t="shared" si="13"/>
        <v>0</v>
      </c>
      <c r="M35" s="28"/>
      <c r="N35" s="29"/>
      <c r="O35" s="28"/>
      <c r="P35" s="29"/>
      <c r="Q35" s="28"/>
      <c r="R35" s="28"/>
      <c r="S35" s="30">
        <f t="shared" si="10"/>
        <v>0</v>
      </c>
      <c r="T35" s="30">
        <f t="shared" si="11"/>
        <v>0</v>
      </c>
      <c r="U35" s="30">
        <f t="shared" si="12"/>
        <v>0</v>
      </c>
      <c r="X35" s="31">
        <f t="shared" si="6"/>
        <v>0.40000000000000002</v>
      </c>
      <c r="Y35" s="31">
        <f t="shared" si="7"/>
        <v>0.59999999999999998</v>
      </c>
    </row>
  </sheetData>
  <sortState ref="A2:D19" columnSort="0">
    <sortCondition sortBy="value" descending="0" ref="B2:B19"/>
  </sortState>
  <printOptions headings="0" gridLines="0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aboveAverage="0" operator="notEqual" rank="0" text="" id="{004600EF-00B4-4635-9304-000300A700DF}">
            <xm:f>1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H7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D14" activeCellId="0" sqref="D14"/>
    </sheetView>
  </sheetViews>
  <sheetFormatPr defaultColWidth="10.3046875" defaultRowHeight="14.25"/>
  <cols>
    <col customWidth="1" min="1" max="1" style="0" width="19.219999999999999"/>
    <col customWidth="1" min="2" max="2" style="45" width="18.670000000000002"/>
    <col customWidth="1" min="24" max="24" style="45" width="11.550000000000001"/>
    <col customWidth="1" min="25" max="25" style="46" width="13.890000000000001"/>
    <col customWidth="1" hidden="1" min="26" max="27" style="0" width="11.550000000000001"/>
  </cols>
  <sheetData>
    <row r="1" s="47" customFormat="1" ht="14.25">
      <c r="A1" s="47" t="s">
        <v>0</v>
      </c>
      <c r="B1" s="48" t="s">
        <v>1</v>
      </c>
      <c r="C1" s="49">
        <v>45603</v>
      </c>
      <c r="D1" s="49">
        <v>45617</v>
      </c>
      <c r="E1" s="49">
        <v>45630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50" t="s">
        <v>61</v>
      </c>
      <c r="Z1" s="47" t="s">
        <v>62</v>
      </c>
      <c r="AA1" s="47" t="s">
        <v>63</v>
      </c>
    </row>
    <row r="2" s="51" customFormat="1" ht="20.649999999999999">
      <c r="A2" s="51" t="str">
        <f>IF(Berechnung!A2="","",Berechnung!A2)</f>
        <v>Timo</v>
      </c>
      <c r="B2" s="52" t="str">
        <f>IF(Berechnung!B2="","",Berechnung!B2)</f>
        <v>Bahl</v>
      </c>
      <c r="C2" s="53">
        <v>10</v>
      </c>
      <c r="D2" s="53"/>
      <c r="E2" s="53">
        <v>11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4">
        <f t="shared" ref="Y2:Y9" si="14">IFERROR(AVERAGE(C2:X2),"n / a")</f>
        <v>10.5</v>
      </c>
      <c r="Z2" s="55">
        <f ca="1">TODAY()</f>
        <v>46043</v>
      </c>
      <c r="AA2" s="56">
        <v>0</v>
      </c>
    </row>
    <row r="3" s="51" customFormat="1" ht="17.350000000000001">
      <c r="A3" s="51" t="str">
        <f>IF(Berechnung!A3="","",Berechnung!A3)</f>
        <v>Sarah</v>
      </c>
      <c r="B3" s="52" t="str">
        <f>IF(Berechnung!B3="","",Berechnung!B3)</f>
        <v>Bohnsack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4" t="str">
        <f t="shared" si="14"/>
        <v xml:space="preserve">n / a</v>
      </c>
      <c r="Z3" s="55">
        <f t="shared" ref="Z3:Z10" si="15">Z2-1</f>
        <v>46042</v>
      </c>
      <c r="AA3" s="56">
        <v>1</v>
      </c>
    </row>
    <row r="4" s="51" customFormat="1" ht="20.649999999999999">
      <c r="A4" s="51" t="str">
        <f>IF(Berechnung!A4="","",Berechnung!A4)</f>
        <v>Niklas</v>
      </c>
      <c r="B4" s="52" t="str">
        <f>IF(Berechnung!B4="","",Berechnung!B4)</f>
        <v>Faust</v>
      </c>
      <c r="C4" s="57">
        <v>10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4">
        <f t="shared" si="14"/>
        <v>10</v>
      </c>
      <c r="Z4" s="55">
        <f t="shared" si="15"/>
        <v>46041</v>
      </c>
      <c r="AA4" s="56">
        <v>2</v>
      </c>
    </row>
    <row r="5" s="51" customFormat="1" ht="20.649999999999999">
      <c r="A5" s="51" t="str">
        <f>IF(Berechnung!A5="","",Berechnung!A5)</f>
        <v>Fahrettin</v>
      </c>
      <c r="B5" s="52" t="str">
        <f>IF(Berechnung!B5="","",Berechnung!B5)</f>
        <v>Gediz</v>
      </c>
      <c r="C5" s="57">
        <v>10</v>
      </c>
      <c r="D5" s="57">
        <v>11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4">
        <f t="shared" si="14"/>
        <v>10.5</v>
      </c>
      <c r="Z5" s="55">
        <f t="shared" si="15"/>
        <v>46040</v>
      </c>
      <c r="AA5" s="56">
        <v>3</v>
      </c>
    </row>
    <row r="6" s="51" customFormat="1" ht="20.649999999999999">
      <c r="A6" s="51" t="str">
        <f>IF(Berechnung!A6="","",Berechnung!A6)</f>
        <v>Nils</v>
      </c>
      <c r="B6" s="52" t="str">
        <f>IF(Berechnung!B6="","",Berechnung!B6)</f>
        <v>Heitbrink</v>
      </c>
      <c r="C6" s="57">
        <v>14</v>
      </c>
      <c r="D6" s="57">
        <v>14</v>
      </c>
      <c r="E6" s="57">
        <v>13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4">
        <f t="shared" si="14"/>
        <v>13.6666666666667</v>
      </c>
      <c r="Z6" s="55">
        <f t="shared" si="15"/>
        <v>46039</v>
      </c>
      <c r="AA6" s="56">
        <v>4</v>
      </c>
    </row>
    <row r="7" s="51" customFormat="1" ht="20.649999999999999">
      <c r="A7" s="51" t="str">
        <f>IF(Berechnung!A7="","",Berechnung!A7)</f>
        <v>Dennis</v>
      </c>
      <c r="B7" s="52" t="str">
        <f>IF(Berechnung!B7="","",Berechnung!B7)</f>
        <v>Kyrpychenko</v>
      </c>
      <c r="C7" s="57">
        <v>11</v>
      </c>
      <c r="D7" s="57">
        <v>13</v>
      </c>
      <c r="E7" s="57">
        <v>13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4">
        <f t="shared" si="14"/>
        <v>12.3333333333333</v>
      </c>
      <c r="Z7" s="55">
        <f t="shared" si="15"/>
        <v>46038</v>
      </c>
      <c r="AA7" s="56">
        <v>5</v>
      </c>
    </row>
    <row r="8" s="51" customFormat="1" ht="20.649999999999999">
      <c r="A8" s="51" t="str">
        <f>IF(Berechnung!A8="","",Berechnung!A8)</f>
        <v>Finn</v>
      </c>
      <c r="B8" s="52" t="str">
        <f>IF(Berechnung!B8="","",Berechnung!B8)</f>
        <v>Lenz</v>
      </c>
      <c r="C8" s="57">
        <v>12</v>
      </c>
      <c r="D8" s="57">
        <v>10</v>
      </c>
      <c r="E8" s="57">
        <v>11</v>
      </c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4">
        <f t="shared" si="14"/>
        <v>11</v>
      </c>
      <c r="Z8" s="55">
        <f t="shared" si="15"/>
        <v>46037</v>
      </c>
      <c r="AA8" s="56">
        <v>6</v>
      </c>
    </row>
    <row r="9" s="51" customFormat="1" ht="17.350000000000001">
      <c r="A9" s="51" t="str">
        <f>IF(Berechnung!A9="","",Berechnung!A9)</f>
        <v>Gergö</v>
      </c>
      <c r="B9" s="52" t="str">
        <f>IF(Berechnung!B9="","",Berechnung!B9)</f>
        <v>Lukacs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4" t="str">
        <f t="shared" si="14"/>
        <v xml:space="preserve">n / a</v>
      </c>
      <c r="Z9" s="55">
        <f t="shared" si="15"/>
        <v>46036</v>
      </c>
      <c r="AA9" s="56">
        <v>7</v>
      </c>
    </row>
    <row r="10" s="51" customFormat="1" ht="20.649999999999999">
      <c r="A10" s="51" t="str">
        <f>IF(Berechnung!A10="","",Berechnung!A10)</f>
        <v>Dennis</v>
      </c>
      <c r="B10" s="52" t="str">
        <f>IF(Berechnung!B10="","",Berechnung!B10)</f>
        <v>Noack</v>
      </c>
      <c r="C10" s="57">
        <v>14</v>
      </c>
      <c r="D10" s="57">
        <v>13</v>
      </c>
      <c r="E10" s="57">
        <v>13</v>
      </c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4">
        <f t="shared" ref="Y10:Y35" si="16">IFERROR(AVERAGE(C10:X10),"n / a")</f>
        <v>13.3333333333333</v>
      </c>
      <c r="Z10" s="55">
        <f t="shared" si="15"/>
        <v>46035</v>
      </c>
      <c r="AA10" s="56">
        <v>8</v>
      </c>
    </row>
    <row r="11" s="51" customFormat="1" ht="20.649999999999999">
      <c r="A11" s="51" t="str">
        <f>IF(Berechnung!A11="","",Berechnung!A11)</f>
        <v>Lasse</v>
      </c>
      <c r="B11" s="52" t="str">
        <f>IF(Berechnung!B11="","",Berechnung!B11)</f>
        <v>Pöhls</v>
      </c>
      <c r="C11" s="57">
        <v>13</v>
      </c>
      <c r="D11" s="57">
        <v>13</v>
      </c>
      <c r="E11" s="57">
        <v>13</v>
      </c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4">
        <f t="shared" si="16"/>
        <v>13</v>
      </c>
      <c r="Z11" s="55">
        <f t="shared" ref="Z11:Z74" si="17">Z10-1</f>
        <v>46034</v>
      </c>
      <c r="AA11" s="56">
        <v>9</v>
      </c>
    </row>
    <row r="12" s="51" customFormat="1" ht="20.649999999999999">
      <c r="A12" s="51" t="str">
        <f>IF(Berechnung!A12="","",Berechnung!A12)</f>
        <v>Jerik</v>
      </c>
      <c r="B12" s="52" t="str">
        <f>IF(Berechnung!B12="","",Berechnung!B12)</f>
        <v>Reddig</v>
      </c>
      <c r="C12" s="57">
        <v>12</v>
      </c>
      <c r="D12" s="57">
        <v>13</v>
      </c>
      <c r="E12" s="57">
        <v>12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4">
        <f t="shared" si="16"/>
        <v>12.3333333333333</v>
      </c>
      <c r="Z12" s="55">
        <f t="shared" si="17"/>
        <v>46033</v>
      </c>
      <c r="AA12" s="56">
        <v>10</v>
      </c>
    </row>
    <row r="13" s="51" customFormat="1" ht="17.350000000000001">
      <c r="A13" s="51" t="str">
        <f>IF(Berechnung!A13="","",Berechnung!A13)</f>
        <v>Jeremy</v>
      </c>
      <c r="B13" s="52" t="str">
        <f>IF(Berechnung!B13="","",Berechnung!B13)</f>
        <v>Rohwer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4" t="str">
        <f t="shared" si="16"/>
        <v xml:space="preserve">n / a</v>
      </c>
      <c r="Z13" s="55">
        <f t="shared" si="17"/>
        <v>46032</v>
      </c>
      <c r="AA13" s="56">
        <v>11</v>
      </c>
    </row>
    <row r="14" s="51" customFormat="1" ht="17.350000000000001">
      <c r="A14" s="51" t="str">
        <f>IF(Berechnung!A14="","",Berechnung!A14)</f>
        <v>Nora</v>
      </c>
      <c r="B14" s="52" t="str">
        <f>IF(Berechnung!B14="","",Berechnung!B14)</f>
        <v>Schewe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4" t="str">
        <f t="shared" si="16"/>
        <v xml:space="preserve">n / a</v>
      </c>
      <c r="Z14" s="55">
        <f t="shared" si="17"/>
        <v>46031</v>
      </c>
      <c r="AA14" s="56">
        <v>12</v>
      </c>
    </row>
    <row r="15" s="51" customFormat="1" ht="17.350000000000001">
      <c r="A15" s="51" t="str">
        <f>IF(Berechnung!A15="","",Berechnung!A15)</f>
        <v>Tim</v>
      </c>
      <c r="B15" s="52" t="str">
        <f>IF(Berechnung!B15="","",Berechnung!B15)</f>
        <v>Scholtz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4" t="str">
        <f t="shared" si="16"/>
        <v xml:space="preserve">n / a</v>
      </c>
      <c r="Z15" s="55">
        <f t="shared" si="17"/>
        <v>46030</v>
      </c>
      <c r="AA15" s="56">
        <v>13</v>
      </c>
    </row>
    <row r="16" s="51" customFormat="1" ht="17.350000000000001">
      <c r="A16" s="51" t="str">
        <f>IF(Berechnung!A16="","",Berechnung!A16)</f>
        <v>Alex</v>
      </c>
      <c r="B16" s="52" t="str">
        <f>IF(Berechnung!B16="","",Berechnung!B16)</f>
        <v>Sejdija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4" t="str">
        <f t="shared" si="16"/>
        <v xml:space="preserve">n / a</v>
      </c>
      <c r="Z16" s="55">
        <f t="shared" si="17"/>
        <v>46029</v>
      </c>
      <c r="AA16" s="56">
        <v>14</v>
      </c>
    </row>
    <row r="17" s="51" customFormat="1" ht="17.350000000000001">
      <c r="A17" s="51" t="str">
        <f>IF(Berechnung!A17="","",Berechnung!A17)</f>
        <v>Torben</v>
      </c>
      <c r="B17" s="52" t="str">
        <f>IF(Berechnung!B17="","",Berechnung!B17)</f>
        <v>Winkler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4" t="str">
        <f t="shared" si="16"/>
        <v xml:space="preserve">n / a</v>
      </c>
      <c r="Z17" s="55">
        <f t="shared" si="17"/>
        <v>46028</v>
      </c>
      <c r="AA17" s="56">
        <v>15</v>
      </c>
    </row>
    <row r="18" s="51" customFormat="1" ht="17.350000000000001">
      <c r="A18" s="51" t="str">
        <f>IF(Berechnung!A18="","",Berechnung!A18)</f>
        <v>Jonas</v>
      </c>
      <c r="B18" s="52" t="str">
        <f>IF(Berechnung!B18="","",Berechnung!B18)</f>
        <v>Wittenberg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4" t="str">
        <f t="shared" si="16"/>
        <v xml:space="preserve">n / a</v>
      </c>
      <c r="Z18" s="55">
        <f t="shared" si="17"/>
        <v>46027</v>
      </c>
    </row>
    <row r="19" s="51" customFormat="1" ht="17.350000000000001">
      <c r="A19" s="51" t="str">
        <f>IF(Berechnung!A19="","",Berechnung!A19)</f>
        <v>Kjell</v>
      </c>
      <c r="B19" s="52" t="str">
        <f>IF(Berechnung!B19="","",Berechnung!B19)</f>
        <v>Wolff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4" t="str">
        <f t="shared" si="16"/>
        <v xml:space="preserve">n / a</v>
      </c>
      <c r="Z19" s="55">
        <f t="shared" si="17"/>
        <v>46026</v>
      </c>
    </row>
    <row r="20" s="51" customFormat="1" ht="17.350000000000001">
      <c r="A20" s="51" t="str">
        <f>IF(Berechnung!A20="","",Berechnung!A20)</f>
        <v/>
      </c>
      <c r="B20" s="52" t="str">
        <f>IF(Berechnung!B20="","",Berechnung!B20)</f>
        <v/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4" t="str">
        <f t="shared" si="16"/>
        <v xml:space="preserve">n / a</v>
      </c>
      <c r="Z20" s="55">
        <f t="shared" si="17"/>
        <v>46025</v>
      </c>
    </row>
    <row r="21" s="51" customFormat="1" ht="17.350000000000001">
      <c r="A21" s="51" t="str">
        <f>IF(Berechnung!A21="","",Berechnung!A21)</f>
        <v/>
      </c>
      <c r="B21" s="52" t="str">
        <f>IF(Berechnung!B21="","",Berechnung!B21)</f>
        <v/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4" t="str">
        <f t="shared" si="16"/>
        <v xml:space="preserve">n / a</v>
      </c>
      <c r="Z21" s="55">
        <f t="shared" si="17"/>
        <v>46024</v>
      </c>
    </row>
    <row r="22" s="51" customFormat="1" ht="17.350000000000001">
      <c r="A22" s="51" t="str">
        <f>IF(Berechnung!A22="","",Berechnung!A22)</f>
        <v/>
      </c>
      <c r="B22" s="52" t="str">
        <f>IF(Berechnung!B22="","",Berechnung!B22)</f>
        <v/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4" t="str">
        <f t="shared" si="16"/>
        <v xml:space="preserve">n / a</v>
      </c>
      <c r="Z22" s="55">
        <f t="shared" si="17"/>
        <v>46023</v>
      </c>
    </row>
    <row r="23" s="51" customFormat="1" ht="17.350000000000001">
      <c r="A23" s="51" t="str">
        <f>IF(Berechnung!A23="","",Berechnung!A23)</f>
        <v/>
      </c>
      <c r="B23" s="52" t="str">
        <f>IF(Berechnung!B23="","",Berechnung!B23)</f>
        <v/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4" t="str">
        <f t="shared" si="16"/>
        <v xml:space="preserve">n / a</v>
      </c>
      <c r="Z23" s="55">
        <f t="shared" si="17"/>
        <v>46022</v>
      </c>
    </row>
    <row r="24" s="51" customFormat="1" ht="17.350000000000001">
      <c r="A24" s="51" t="str">
        <f>IF(Berechnung!A24="","",Berechnung!A24)</f>
        <v/>
      </c>
      <c r="B24" s="52" t="str">
        <f>IF(Berechnung!B24="","",Berechnung!B24)</f>
        <v/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4" t="str">
        <f t="shared" si="16"/>
        <v xml:space="preserve">n / a</v>
      </c>
      <c r="Z24" s="55">
        <f t="shared" si="17"/>
        <v>46021</v>
      </c>
    </row>
    <row r="25" s="51" customFormat="1" ht="17.350000000000001">
      <c r="A25" s="51" t="str">
        <f>IF(Berechnung!A25="","",Berechnung!A25)</f>
        <v/>
      </c>
      <c r="B25" s="52" t="str">
        <f>IF(Berechnung!B25="","",Berechnung!B25)</f>
        <v/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4" t="str">
        <f t="shared" si="16"/>
        <v xml:space="preserve">n / a</v>
      </c>
      <c r="Z25" s="55">
        <f t="shared" si="17"/>
        <v>46020</v>
      </c>
    </row>
    <row r="26" s="51" customFormat="1" ht="17.350000000000001">
      <c r="A26" s="51" t="str">
        <f>IF(Berechnung!A26="","",Berechnung!A26)</f>
        <v/>
      </c>
      <c r="B26" s="52" t="str">
        <f>IF(Berechnung!B26="","",Berechnung!B26)</f>
        <v/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4" t="str">
        <f t="shared" si="16"/>
        <v xml:space="preserve">n / a</v>
      </c>
      <c r="Z26" s="55">
        <f t="shared" si="17"/>
        <v>46019</v>
      </c>
    </row>
    <row r="27" s="51" customFormat="1" ht="17.350000000000001">
      <c r="A27" s="51" t="str">
        <f>IF(Berechnung!A27="","",Berechnung!A27)</f>
        <v/>
      </c>
      <c r="B27" s="52" t="str">
        <f>IF(Berechnung!B27="","",Berechnung!B27)</f>
        <v/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4" t="str">
        <f t="shared" si="16"/>
        <v xml:space="preserve">n / a</v>
      </c>
      <c r="Z27" s="55">
        <f t="shared" si="17"/>
        <v>46018</v>
      </c>
    </row>
    <row r="28" s="51" customFormat="1" ht="17.350000000000001">
      <c r="A28" s="51" t="str">
        <f>IF(Berechnung!A28="","",Berechnung!A28)</f>
        <v/>
      </c>
      <c r="B28" s="52" t="str">
        <f>IF(Berechnung!B28="","",Berechnung!B28)</f>
        <v/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4" t="str">
        <f t="shared" si="16"/>
        <v xml:space="preserve">n / a</v>
      </c>
      <c r="Z28" s="55">
        <f t="shared" si="17"/>
        <v>46017</v>
      </c>
    </row>
    <row r="29" s="51" customFormat="1" ht="17.350000000000001">
      <c r="A29" s="51" t="str">
        <f>IF(Berechnung!A29="","",Berechnung!A29)</f>
        <v/>
      </c>
      <c r="B29" s="52" t="str">
        <f>IF(Berechnung!B29="","",Berechnung!B29)</f>
        <v/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4" t="str">
        <f t="shared" si="16"/>
        <v xml:space="preserve">n / a</v>
      </c>
      <c r="Z29" s="55">
        <f t="shared" si="17"/>
        <v>46016</v>
      </c>
    </row>
    <row r="30" s="51" customFormat="1" ht="17.350000000000001">
      <c r="A30" s="51" t="str">
        <f>IF(Berechnung!A30="","",Berechnung!A30)</f>
        <v/>
      </c>
      <c r="B30" s="52" t="str">
        <f>IF(Berechnung!B30="","",Berechnung!B30)</f>
        <v/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4" t="str">
        <f t="shared" si="16"/>
        <v xml:space="preserve">n / a</v>
      </c>
      <c r="Z30" s="55">
        <f t="shared" si="17"/>
        <v>46015</v>
      </c>
    </row>
    <row r="31" s="51" customFormat="1" ht="17.350000000000001">
      <c r="A31" s="51" t="str">
        <f>IF(Berechnung!A31="","",Berechnung!A31)</f>
        <v/>
      </c>
      <c r="B31" s="52" t="str">
        <f>IF(Berechnung!B31="","",Berechnung!B31)</f>
        <v/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4" t="str">
        <f t="shared" si="16"/>
        <v xml:space="preserve">n / a</v>
      </c>
      <c r="Z31" s="55">
        <f t="shared" si="17"/>
        <v>46014</v>
      </c>
    </row>
    <row r="32" s="51" customFormat="1" ht="17.350000000000001">
      <c r="A32" s="51" t="str">
        <f>IF(Berechnung!A32="","",Berechnung!A32)</f>
        <v/>
      </c>
      <c r="B32" s="52" t="str">
        <f>IF(Berechnung!B32="","",Berechnung!B32)</f>
        <v/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4" t="str">
        <f t="shared" si="16"/>
        <v xml:space="preserve">n / a</v>
      </c>
      <c r="Z32" s="55">
        <f t="shared" si="17"/>
        <v>46013</v>
      </c>
    </row>
    <row r="33" s="51" customFormat="1" ht="17.350000000000001">
      <c r="A33" s="51" t="str">
        <f>IF(Berechnung!A33="","",Berechnung!A33)</f>
        <v/>
      </c>
      <c r="B33" s="52" t="str">
        <f>IF(Berechnung!B33="","",Berechnung!B33)</f>
        <v/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4" t="str">
        <f t="shared" si="16"/>
        <v xml:space="preserve">n / a</v>
      </c>
      <c r="Z33" s="55">
        <f t="shared" si="17"/>
        <v>46012</v>
      </c>
    </row>
    <row r="34" s="51" customFormat="1" ht="17.350000000000001">
      <c r="A34" s="51" t="str">
        <f>IF(Berechnung!A34="","",Berechnung!A34)</f>
        <v/>
      </c>
      <c r="B34" s="52" t="str">
        <f>IF(Berechnung!B34="","",Berechnung!B34)</f>
        <v/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4" t="str">
        <f t="shared" si="16"/>
        <v xml:space="preserve">n / a</v>
      </c>
      <c r="Z34" s="55">
        <f t="shared" si="17"/>
        <v>46011</v>
      </c>
    </row>
    <row r="35" s="51" customFormat="1" ht="17.350000000000001">
      <c r="A35" s="51" t="str">
        <f>IF(Berechnung!A35="","",Berechnung!A35)</f>
        <v/>
      </c>
      <c r="B35" s="52" t="str">
        <f>IF(Berechnung!B35="","",Berechnung!B35)</f>
        <v/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4" t="str">
        <f t="shared" si="16"/>
        <v xml:space="preserve">n / a</v>
      </c>
      <c r="Z35" s="55">
        <f t="shared" si="17"/>
        <v>46010</v>
      </c>
    </row>
    <row r="36" ht="14.25">
      <c r="Z36" s="58">
        <f t="shared" si="17"/>
        <v>46009</v>
      </c>
    </row>
    <row r="37" ht="14.25">
      <c r="Z37" s="58">
        <f t="shared" si="17"/>
        <v>46008</v>
      </c>
    </row>
    <row r="38" ht="14.25">
      <c r="Z38" s="58">
        <f t="shared" si="17"/>
        <v>46007</v>
      </c>
    </row>
    <row r="39" ht="14.25">
      <c r="Z39" s="58">
        <f t="shared" si="17"/>
        <v>46006</v>
      </c>
    </row>
    <row r="40" ht="14.25">
      <c r="Z40" s="58">
        <f t="shared" si="17"/>
        <v>46005</v>
      </c>
    </row>
    <row r="41" ht="14.25">
      <c r="Z41" s="58">
        <f t="shared" si="17"/>
        <v>46004</v>
      </c>
    </row>
    <row r="42" ht="14.25">
      <c r="Z42" s="58">
        <f t="shared" si="17"/>
        <v>46003</v>
      </c>
    </row>
    <row r="43" ht="14.25">
      <c r="Z43" s="58">
        <f t="shared" si="17"/>
        <v>46002</v>
      </c>
    </row>
    <row r="44" ht="14.25">
      <c r="Z44" s="58">
        <f t="shared" si="17"/>
        <v>46001</v>
      </c>
    </row>
    <row r="45" ht="14.25">
      <c r="Z45" s="58">
        <f t="shared" si="17"/>
        <v>46000</v>
      </c>
    </row>
    <row r="46" ht="14.25">
      <c r="Z46" s="58">
        <f t="shared" si="17"/>
        <v>45999</v>
      </c>
    </row>
    <row r="47" ht="14.25">
      <c r="Z47" s="58">
        <f t="shared" si="17"/>
        <v>45998</v>
      </c>
    </row>
    <row r="48" ht="14.25">
      <c r="Z48" s="58">
        <f t="shared" si="17"/>
        <v>45997</v>
      </c>
    </row>
    <row r="49" ht="14.25">
      <c r="Z49" s="58">
        <f t="shared" si="17"/>
        <v>45996</v>
      </c>
    </row>
    <row r="50" ht="14.25">
      <c r="Z50" s="58">
        <f t="shared" si="17"/>
        <v>45995</v>
      </c>
    </row>
    <row r="51" ht="14.25">
      <c r="Z51" s="58">
        <f t="shared" si="17"/>
        <v>45994</v>
      </c>
    </row>
    <row r="52" ht="14.25">
      <c r="Z52" s="58">
        <f t="shared" si="17"/>
        <v>45993</v>
      </c>
    </row>
    <row r="53" ht="14.25">
      <c r="Z53" s="58">
        <f t="shared" si="17"/>
        <v>45992</v>
      </c>
    </row>
    <row r="54" ht="14.25">
      <c r="Z54" s="58">
        <f t="shared" si="17"/>
        <v>45991</v>
      </c>
    </row>
    <row r="55" ht="14.25">
      <c r="Z55" s="58">
        <f t="shared" si="17"/>
        <v>45990</v>
      </c>
    </row>
    <row r="56" ht="14.25">
      <c r="Z56" s="58">
        <f t="shared" si="17"/>
        <v>45989</v>
      </c>
    </row>
    <row r="57" ht="14.25">
      <c r="Z57" s="58">
        <f t="shared" si="17"/>
        <v>45988</v>
      </c>
    </row>
    <row r="58" ht="14.25">
      <c r="Z58" s="58">
        <f t="shared" si="17"/>
        <v>45987</v>
      </c>
    </row>
    <row r="59" ht="14.25">
      <c r="Z59" s="58">
        <f t="shared" si="17"/>
        <v>45986</v>
      </c>
    </row>
    <row r="60" ht="14.25">
      <c r="Z60" s="58">
        <f t="shared" si="17"/>
        <v>45985</v>
      </c>
    </row>
    <row r="61" ht="14.25">
      <c r="Z61" s="58">
        <f t="shared" si="17"/>
        <v>45984</v>
      </c>
    </row>
    <row r="62" ht="14.25">
      <c r="Z62" s="58">
        <f t="shared" si="17"/>
        <v>45983</v>
      </c>
    </row>
    <row r="63" ht="14.25">
      <c r="Z63" s="58">
        <f t="shared" si="17"/>
        <v>45982</v>
      </c>
    </row>
    <row r="64" ht="14.25">
      <c r="Z64" s="58">
        <f t="shared" si="17"/>
        <v>45981</v>
      </c>
    </row>
    <row r="65" ht="14.25">
      <c r="Z65" s="58">
        <f t="shared" si="17"/>
        <v>45980</v>
      </c>
    </row>
    <row r="66" ht="14.25">
      <c r="Z66" s="58">
        <f t="shared" si="17"/>
        <v>45979</v>
      </c>
    </row>
    <row r="67" ht="14.25">
      <c r="Z67" s="58">
        <f t="shared" si="17"/>
        <v>45978</v>
      </c>
    </row>
    <row r="68" ht="14.25">
      <c r="Z68" s="58">
        <f t="shared" si="17"/>
        <v>45977</v>
      </c>
    </row>
    <row r="69" ht="14.25">
      <c r="Z69" s="58">
        <f t="shared" si="17"/>
        <v>45976</v>
      </c>
    </row>
    <row r="70" ht="14.25">
      <c r="Z70" s="58">
        <f t="shared" si="17"/>
        <v>45975</v>
      </c>
    </row>
    <row r="71" ht="14.25">
      <c r="Z71" s="58">
        <f t="shared" si="17"/>
        <v>45974</v>
      </c>
    </row>
    <row r="72" ht="14.25">
      <c r="Z72" s="58">
        <f t="shared" si="17"/>
        <v>45973</v>
      </c>
    </row>
    <row r="73" ht="14.25">
      <c r="Z73" s="58">
        <f t="shared" si="17"/>
        <v>45972</v>
      </c>
    </row>
    <row r="74" ht="14.25">
      <c r="Z74" s="58">
        <f t="shared" si="17"/>
        <v>45971</v>
      </c>
    </row>
    <row r="75" ht="14.25">
      <c r="Z75" s="58">
        <f t="shared" ref="Z75:Z100" si="18">Z74-1</f>
        <v>45970</v>
      </c>
    </row>
    <row r="76" ht="14.25">
      <c r="Z76" s="58">
        <f t="shared" si="18"/>
        <v>45969</v>
      </c>
    </row>
    <row r="77" ht="14.25">
      <c r="Z77" s="58">
        <f t="shared" si="18"/>
        <v>45968</v>
      </c>
    </row>
    <row r="78" ht="14.25">
      <c r="Z78" s="58">
        <f t="shared" si="18"/>
        <v>45967</v>
      </c>
    </row>
    <row r="79" ht="14.25">
      <c r="Z79" s="58">
        <f t="shared" si="18"/>
        <v>45966</v>
      </c>
    </row>
    <row r="80" ht="14.25">
      <c r="Z80" s="58">
        <f t="shared" si="18"/>
        <v>45965</v>
      </c>
    </row>
    <row r="81" ht="14.25">
      <c r="Z81" s="58">
        <f t="shared" si="18"/>
        <v>45964</v>
      </c>
    </row>
    <row r="82" ht="14.25">
      <c r="Z82" s="58">
        <f t="shared" si="18"/>
        <v>45963</v>
      </c>
    </row>
    <row r="83" ht="14.25">
      <c r="Z83" s="58">
        <f t="shared" si="18"/>
        <v>45962</v>
      </c>
    </row>
    <row r="84" ht="14.25">
      <c r="Z84" s="58">
        <f t="shared" si="18"/>
        <v>45961</v>
      </c>
    </row>
    <row r="85" ht="14.25">
      <c r="Z85" s="58">
        <f t="shared" si="18"/>
        <v>45960</v>
      </c>
    </row>
    <row r="86" ht="14.25">
      <c r="Z86" s="58">
        <f t="shared" si="18"/>
        <v>45959</v>
      </c>
    </row>
    <row r="87" ht="14.25">
      <c r="Z87" s="58">
        <f t="shared" si="18"/>
        <v>45958</v>
      </c>
    </row>
    <row r="88" ht="14.25">
      <c r="Z88" s="58">
        <f t="shared" si="18"/>
        <v>45957</v>
      </c>
    </row>
    <row r="89" ht="14.25">
      <c r="Z89" s="58">
        <f t="shared" si="18"/>
        <v>45956</v>
      </c>
    </row>
    <row r="90" ht="14.25">
      <c r="Z90" s="58">
        <f t="shared" si="18"/>
        <v>45955</v>
      </c>
    </row>
    <row r="91" ht="14.25">
      <c r="Z91" s="58">
        <f t="shared" si="18"/>
        <v>45954</v>
      </c>
    </row>
    <row r="92" ht="14.25">
      <c r="Z92" s="58">
        <f t="shared" si="18"/>
        <v>45953</v>
      </c>
    </row>
    <row r="93" ht="14.25">
      <c r="Z93" s="58">
        <f t="shared" si="18"/>
        <v>45952</v>
      </c>
    </row>
    <row r="94" ht="14.25">
      <c r="Z94" s="58">
        <f t="shared" si="18"/>
        <v>45951</v>
      </c>
    </row>
    <row r="95" ht="14.25">
      <c r="Z95" s="58">
        <f t="shared" si="18"/>
        <v>45950</v>
      </c>
    </row>
    <row r="96" ht="14.25">
      <c r="Z96" s="58">
        <f t="shared" si="18"/>
        <v>45949</v>
      </c>
    </row>
    <row r="97" ht="14.25">
      <c r="Z97" s="58">
        <f t="shared" si="18"/>
        <v>45948</v>
      </c>
    </row>
    <row r="98" ht="14.25">
      <c r="Z98" s="58">
        <f t="shared" si="18"/>
        <v>45947</v>
      </c>
    </row>
    <row r="99" ht="14.25">
      <c r="Z99" s="58">
        <f t="shared" si="18"/>
        <v>45946</v>
      </c>
    </row>
    <row r="100" ht="14.25">
      <c r="Z100" s="58">
        <f t="shared" si="18"/>
        <v>45945</v>
      </c>
    </row>
    <row r="101" ht="14.25">
      <c r="Z101" s="58">
        <f t="shared" ref="Z101:Z164" si="19">Z100-1</f>
        <v>45944</v>
      </c>
    </row>
    <row r="102" ht="14.25">
      <c r="Z102" s="58">
        <f t="shared" si="19"/>
        <v>45943</v>
      </c>
    </row>
    <row r="103" ht="14.25">
      <c r="Z103" s="58">
        <f t="shared" si="19"/>
        <v>45942</v>
      </c>
    </row>
    <row r="104" ht="14.25">
      <c r="Z104" s="58">
        <f t="shared" si="19"/>
        <v>45941</v>
      </c>
    </row>
    <row r="105" ht="14.25">
      <c r="Z105" s="58">
        <f t="shared" si="19"/>
        <v>45940</v>
      </c>
    </row>
    <row r="106" ht="14.25">
      <c r="Z106" s="58">
        <f t="shared" si="19"/>
        <v>45939</v>
      </c>
    </row>
    <row r="107" ht="14.25">
      <c r="Z107" s="58">
        <f t="shared" si="19"/>
        <v>45938</v>
      </c>
    </row>
    <row r="108" ht="14.25">
      <c r="Z108" s="58">
        <f t="shared" si="19"/>
        <v>45937</v>
      </c>
    </row>
    <row r="109" ht="14.25">
      <c r="Z109" s="58">
        <f t="shared" si="19"/>
        <v>45936</v>
      </c>
    </row>
    <row r="110" ht="14.25">
      <c r="Z110" s="58">
        <f t="shared" si="19"/>
        <v>45935</v>
      </c>
    </row>
    <row r="111" ht="14.25">
      <c r="Z111" s="58">
        <f t="shared" si="19"/>
        <v>45934</v>
      </c>
    </row>
    <row r="112" ht="14.25">
      <c r="Z112" s="58">
        <f t="shared" si="19"/>
        <v>45933</v>
      </c>
    </row>
    <row r="113" ht="14.25">
      <c r="Z113" s="58">
        <f t="shared" si="19"/>
        <v>45932</v>
      </c>
    </row>
    <row r="114" ht="14.25">
      <c r="Z114" s="58">
        <f t="shared" si="19"/>
        <v>45931</v>
      </c>
    </row>
    <row r="115" ht="14.25">
      <c r="Z115" s="58">
        <f t="shared" si="19"/>
        <v>45930</v>
      </c>
    </row>
    <row r="116" ht="14.25">
      <c r="Z116" s="58">
        <f t="shared" si="19"/>
        <v>45929</v>
      </c>
    </row>
    <row r="117" ht="14.25">
      <c r="Z117" s="58">
        <f t="shared" si="19"/>
        <v>45928</v>
      </c>
    </row>
    <row r="118" ht="14.25">
      <c r="Z118" s="58">
        <f t="shared" si="19"/>
        <v>45927</v>
      </c>
    </row>
    <row r="119" ht="14.25">
      <c r="Z119" s="58">
        <f t="shared" si="19"/>
        <v>45926</v>
      </c>
    </row>
    <row r="120" ht="14.25">
      <c r="Z120" s="58">
        <f t="shared" si="19"/>
        <v>45925</v>
      </c>
    </row>
    <row r="121" ht="14.25">
      <c r="Z121" s="58">
        <f t="shared" si="19"/>
        <v>45924</v>
      </c>
    </row>
    <row r="122" ht="14.25">
      <c r="Z122" s="58">
        <f t="shared" si="19"/>
        <v>45923</v>
      </c>
    </row>
    <row r="123" ht="14.25">
      <c r="Z123" s="58">
        <f t="shared" si="19"/>
        <v>45922</v>
      </c>
    </row>
    <row r="124" ht="14.25">
      <c r="Z124" s="58">
        <f t="shared" si="19"/>
        <v>45921</v>
      </c>
    </row>
    <row r="125" ht="14.25">
      <c r="Z125" s="58">
        <f t="shared" si="19"/>
        <v>45920</v>
      </c>
    </row>
    <row r="126" ht="14.25">
      <c r="Z126" s="58">
        <f t="shared" si="19"/>
        <v>45919</v>
      </c>
    </row>
    <row r="127" ht="14.25">
      <c r="Z127" s="58">
        <f t="shared" si="19"/>
        <v>45918</v>
      </c>
    </row>
    <row r="128" ht="14.25">
      <c r="Z128" s="58">
        <f t="shared" si="19"/>
        <v>45917</v>
      </c>
    </row>
    <row r="129" ht="14.25">
      <c r="Z129" s="58">
        <f t="shared" si="19"/>
        <v>45916</v>
      </c>
    </row>
    <row r="130" ht="14.25">
      <c r="Z130" s="58">
        <f t="shared" si="19"/>
        <v>45915</v>
      </c>
    </row>
    <row r="131" ht="14.25">
      <c r="Z131" s="58">
        <f t="shared" si="19"/>
        <v>45914</v>
      </c>
    </row>
    <row r="132" ht="14.25">
      <c r="Z132" s="58">
        <f t="shared" si="19"/>
        <v>45913</v>
      </c>
    </row>
    <row r="133" ht="14.25">
      <c r="Z133" s="58">
        <f t="shared" si="19"/>
        <v>45912</v>
      </c>
    </row>
    <row r="134" ht="14.25">
      <c r="Z134" s="58">
        <f t="shared" si="19"/>
        <v>45911</v>
      </c>
    </row>
    <row r="135" ht="14.25">
      <c r="Z135" s="58">
        <f t="shared" si="19"/>
        <v>45910</v>
      </c>
    </row>
    <row r="136" ht="14.25">
      <c r="Z136" s="58">
        <f t="shared" si="19"/>
        <v>45909</v>
      </c>
    </row>
    <row r="137" ht="14.25">
      <c r="Z137" s="58">
        <f t="shared" si="19"/>
        <v>45908</v>
      </c>
    </row>
    <row r="138" ht="14.25">
      <c r="Z138" s="58">
        <f t="shared" si="19"/>
        <v>45907</v>
      </c>
    </row>
    <row r="139" ht="14.25">
      <c r="Z139" s="58">
        <f t="shared" si="19"/>
        <v>45906</v>
      </c>
    </row>
    <row r="140" ht="14.25">
      <c r="Z140" s="58">
        <f t="shared" si="19"/>
        <v>45905</v>
      </c>
    </row>
    <row r="141" ht="14.25">
      <c r="Z141" s="58">
        <f t="shared" si="19"/>
        <v>45904</v>
      </c>
    </row>
    <row r="142" ht="14.25">
      <c r="Z142" s="58">
        <f t="shared" si="19"/>
        <v>45903</v>
      </c>
    </row>
    <row r="143" ht="14.25">
      <c r="Z143" s="58">
        <f t="shared" si="19"/>
        <v>45902</v>
      </c>
    </row>
    <row r="144" ht="14.25">
      <c r="Z144" s="58">
        <f t="shared" si="19"/>
        <v>45901</v>
      </c>
    </row>
    <row r="145" ht="14.25">
      <c r="Z145" s="58">
        <f t="shared" si="19"/>
        <v>45900</v>
      </c>
    </row>
    <row r="146" ht="14.25">
      <c r="Z146" s="58">
        <f t="shared" si="19"/>
        <v>45899</v>
      </c>
    </row>
    <row r="147" ht="14.25">
      <c r="Z147" s="58">
        <f t="shared" si="19"/>
        <v>45898</v>
      </c>
    </row>
    <row r="148" ht="14.25">
      <c r="Z148" s="58">
        <f t="shared" si="19"/>
        <v>45897</v>
      </c>
    </row>
    <row r="149" ht="14.25">
      <c r="Z149" s="58">
        <f t="shared" si="19"/>
        <v>45896</v>
      </c>
    </row>
    <row r="150" ht="14.25">
      <c r="Z150" s="58">
        <f t="shared" si="19"/>
        <v>45895</v>
      </c>
    </row>
    <row r="151" ht="14.25">
      <c r="Z151" s="58">
        <f t="shared" si="19"/>
        <v>45894</v>
      </c>
    </row>
    <row r="152" ht="14.25">
      <c r="Z152" s="58">
        <f t="shared" si="19"/>
        <v>45893</v>
      </c>
    </row>
    <row r="153" ht="14.25">
      <c r="Z153" s="58">
        <f t="shared" si="19"/>
        <v>45892</v>
      </c>
    </row>
    <row r="154" ht="14.25">
      <c r="Z154" s="58">
        <f t="shared" si="19"/>
        <v>45891</v>
      </c>
    </row>
    <row r="155" ht="14.25">
      <c r="Z155" s="58">
        <f t="shared" si="19"/>
        <v>45890</v>
      </c>
    </row>
    <row r="156" ht="14.25">
      <c r="Z156" s="58">
        <f t="shared" si="19"/>
        <v>45889</v>
      </c>
    </row>
    <row r="157" ht="14.25">
      <c r="Z157" s="58">
        <f t="shared" si="19"/>
        <v>45888</v>
      </c>
    </row>
    <row r="158" ht="14.25">
      <c r="Z158" s="58">
        <f t="shared" si="19"/>
        <v>45887</v>
      </c>
    </row>
    <row r="159" ht="14.25">
      <c r="Z159" s="58">
        <f t="shared" si="19"/>
        <v>45886</v>
      </c>
    </row>
    <row r="160" ht="14.25">
      <c r="Z160" s="58">
        <f t="shared" si="19"/>
        <v>45885</v>
      </c>
    </row>
    <row r="161" ht="14.25">
      <c r="Z161" s="58">
        <f t="shared" si="19"/>
        <v>45884</v>
      </c>
    </row>
    <row r="162" ht="14.25">
      <c r="Z162" s="58">
        <f t="shared" si="19"/>
        <v>45883</v>
      </c>
    </row>
    <row r="163" ht="14.25">
      <c r="Z163" s="58">
        <f t="shared" si="19"/>
        <v>45882</v>
      </c>
    </row>
    <row r="164" ht="14.25">
      <c r="Z164" s="58">
        <f t="shared" si="19"/>
        <v>45881</v>
      </c>
    </row>
    <row r="165" ht="14.25">
      <c r="Z165" s="58">
        <f t="shared" ref="Z165:Z228" si="20">Z164-1</f>
        <v>45880</v>
      </c>
    </row>
    <row r="166" ht="14.25">
      <c r="Z166" s="58">
        <f t="shared" si="20"/>
        <v>45879</v>
      </c>
    </row>
    <row r="167" ht="14.25">
      <c r="Z167" s="58">
        <f t="shared" si="20"/>
        <v>45878</v>
      </c>
    </row>
    <row r="168" ht="14.25">
      <c r="Z168" s="58">
        <f t="shared" si="20"/>
        <v>45877</v>
      </c>
    </row>
    <row r="169" ht="14.25">
      <c r="Z169" s="58">
        <f t="shared" si="20"/>
        <v>45876</v>
      </c>
    </row>
    <row r="170" ht="14.25">
      <c r="Z170" s="58">
        <f t="shared" si="20"/>
        <v>45875</v>
      </c>
    </row>
    <row r="171" ht="14.25">
      <c r="Z171" s="58">
        <f t="shared" si="20"/>
        <v>45874</v>
      </c>
    </row>
    <row r="172" ht="14.25">
      <c r="Z172" s="58">
        <f t="shared" si="20"/>
        <v>45873</v>
      </c>
    </row>
    <row r="173" ht="14.25">
      <c r="Z173" s="58">
        <f t="shared" si="20"/>
        <v>45872</v>
      </c>
    </row>
    <row r="174" ht="14.25">
      <c r="Z174" s="58">
        <f t="shared" si="20"/>
        <v>45871</v>
      </c>
    </row>
    <row r="175" ht="14.25">
      <c r="Z175" s="58">
        <f t="shared" si="20"/>
        <v>45870</v>
      </c>
    </row>
    <row r="176" ht="14.25">
      <c r="Z176" s="58">
        <f t="shared" si="20"/>
        <v>45869</v>
      </c>
    </row>
    <row r="177" ht="14.25">
      <c r="Z177" s="58">
        <f t="shared" si="20"/>
        <v>45868</v>
      </c>
    </row>
    <row r="178" ht="14.25">
      <c r="Z178" s="58">
        <f t="shared" si="20"/>
        <v>45867</v>
      </c>
    </row>
    <row r="179" ht="14.25">
      <c r="Z179" s="58">
        <f t="shared" si="20"/>
        <v>45866</v>
      </c>
    </row>
    <row r="180" ht="14.25">
      <c r="Z180" s="58">
        <f t="shared" si="20"/>
        <v>45865</v>
      </c>
    </row>
    <row r="181" ht="14.25">
      <c r="Z181" s="58">
        <f t="shared" si="20"/>
        <v>45864</v>
      </c>
    </row>
    <row r="182" ht="14.25">
      <c r="Z182" s="58">
        <f t="shared" si="20"/>
        <v>45863</v>
      </c>
    </row>
    <row r="183" ht="14.25">
      <c r="Z183" s="58">
        <f t="shared" si="20"/>
        <v>45862</v>
      </c>
    </row>
    <row r="184" ht="14.25">
      <c r="Z184" s="58">
        <f t="shared" si="20"/>
        <v>45861</v>
      </c>
    </row>
    <row r="185" ht="14.25">
      <c r="Z185" s="58">
        <f t="shared" si="20"/>
        <v>45860</v>
      </c>
    </row>
    <row r="186" ht="14.25">
      <c r="Z186" s="58">
        <f t="shared" si="20"/>
        <v>45859</v>
      </c>
    </row>
    <row r="187" ht="14.25">
      <c r="Z187" s="58">
        <f t="shared" si="20"/>
        <v>45858</v>
      </c>
    </row>
    <row r="188" ht="14.25">
      <c r="Z188" s="58">
        <f t="shared" si="20"/>
        <v>45857</v>
      </c>
    </row>
    <row r="189" ht="14.25">
      <c r="Z189" s="58">
        <f t="shared" si="20"/>
        <v>45856</v>
      </c>
    </row>
    <row r="190" ht="14.25">
      <c r="Z190" s="58">
        <f t="shared" si="20"/>
        <v>45855</v>
      </c>
    </row>
    <row r="191" ht="14.25">
      <c r="Z191" s="58">
        <f t="shared" si="20"/>
        <v>45854</v>
      </c>
    </row>
    <row r="192" ht="14.25">
      <c r="Z192" s="58">
        <f t="shared" si="20"/>
        <v>45853</v>
      </c>
    </row>
    <row r="193" ht="14.25">
      <c r="Z193" s="58">
        <f t="shared" si="20"/>
        <v>45852</v>
      </c>
    </row>
    <row r="194" ht="14.25">
      <c r="Z194" s="58">
        <f t="shared" si="20"/>
        <v>45851</v>
      </c>
    </row>
    <row r="195" ht="14.25">
      <c r="Z195" s="58">
        <f t="shared" si="20"/>
        <v>45850</v>
      </c>
    </row>
    <row r="196" ht="14.25">
      <c r="Z196" s="58">
        <f t="shared" si="20"/>
        <v>45849</v>
      </c>
    </row>
    <row r="197" ht="14.25">
      <c r="Z197" s="58">
        <f t="shared" si="20"/>
        <v>45848</v>
      </c>
    </row>
    <row r="198" ht="14.25">
      <c r="Z198" s="58">
        <f t="shared" si="20"/>
        <v>45847</v>
      </c>
    </row>
    <row r="199" ht="14.25">
      <c r="Z199" s="58">
        <f t="shared" si="20"/>
        <v>45846</v>
      </c>
    </row>
    <row r="200" ht="14.25">
      <c r="Z200" s="58">
        <f t="shared" si="20"/>
        <v>45845</v>
      </c>
    </row>
    <row r="201" ht="14.25">
      <c r="Z201" s="58">
        <f t="shared" si="20"/>
        <v>45844</v>
      </c>
    </row>
    <row r="202" ht="14.25">
      <c r="Z202" s="58">
        <f t="shared" si="20"/>
        <v>45843</v>
      </c>
    </row>
    <row r="203" ht="14.25">
      <c r="Z203" s="58">
        <f t="shared" si="20"/>
        <v>45842</v>
      </c>
    </row>
    <row r="204" ht="14.25">
      <c r="Z204" s="58">
        <f t="shared" si="20"/>
        <v>45841</v>
      </c>
    </row>
    <row r="205" ht="14.25">
      <c r="Z205" s="58">
        <f t="shared" si="20"/>
        <v>45840</v>
      </c>
    </row>
    <row r="206" ht="14.25">
      <c r="Z206" s="58">
        <f t="shared" si="20"/>
        <v>45839</v>
      </c>
    </row>
    <row r="207" ht="14.25">
      <c r="Z207" s="58">
        <f t="shared" si="20"/>
        <v>45838</v>
      </c>
    </row>
    <row r="208" ht="14.25">
      <c r="Z208" s="58">
        <f t="shared" si="20"/>
        <v>45837</v>
      </c>
    </row>
    <row r="209" ht="14.25">
      <c r="Z209" s="58">
        <f t="shared" si="20"/>
        <v>45836</v>
      </c>
    </row>
    <row r="210" ht="14.25">
      <c r="Z210" s="58">
        <f t="shared" si="20"/>
        <v>45835</v>
      </c>
    </row>
    <row r="211" ht="14.25">
      <c r="Z211" s="58">
        <f t="shared" si="20"/>
        <v>45834</v>
      </c>
    </row>
    <row r="212" ht="14.25">
      <c r="Z212" s="58">
        <f t="shared" si="20"/>
        <v>45833</v>
      </c>
    </row>
    <row r="213" ht="14.25">
      <c r="Z213" s="58">
        <f t="shared" si="20"/>
        <v>45832</v>
      </c>
    </row>
    <row r="214" ht="14.25">
      <c r="Z214" s="58">
        <f t="shared" si="20"/>
        <v>45831</v>
      </c>
    </row>
    <row r="215" ht="14.25">
      <c r="Z215" s="58">
        <f t="shared" si="20"/>
        <v>45830</v>
      </c>
    </row>
    <row r="216" ht="14.25">
      <c r="Z216" s="58">
        <f t="shared" si="20"/>
        <v>45829</v>
      </c>
    </row>
    <row r="217" ht="14.25">
      <c r="Z217" s="58">
        <f t="shared" si="20"/>
        <v>45828</v>
      </c>
    </row>
    <row r="218" ht="14.25">
      <c r="Z218" s="58">
        <f t="shared" si="20"/>
        <v>45827</v>
      </c>
    </row>
    <row r="219" ht="14.25">
      <c r="Z219" s="58">
        <f t="shared" si="20"/>
        <v>45826</v>
      </c>
    </row>
    <row r="220" ht="14.25">
      <c r="Z220" s="58">
        <f t="shared" si="20"/>
        <v>45825</v>
      </c>
    </row>
    <row r="221" ht="14.25">
      <c r="Z221" s="58">
        <f t="shared" si="20"/>
        <v>45824</v>
      </c>
    </row>
    <row r="222" ht="14.25">
      <c r="Z222" s="58">
        <f t="shared" si="20"/>
        <v>45823</v>
      </c>
    </row>
    <row r="223" ht="14.25">
      <c r="Z223" s="58">
        <f t="shared" si="20"/>
        <v>45822</v>
      </c>
    </row>
    <row r="224" ht="14.25">
      <c r="Z224" s="58">
        <f t="shared" si="20"/>
        <v>45821</v>
      </c>
    </row>
    <row r="225" ht="14.25">
      <c r="Z225" s="58">
        <f t="shared" si="20"/>
        <v>45820</v>
      </c>
    </row>
    <row r="226" ht="14.25">
      <c r="Z226" s="58">
        <f t="shared" si="20"/>
        <v>45819</v>
      </c>
    </row>
    <row r="227" ht="14.25">
      <c r="Z227" s="58">
        <f t="shared" si="20"/>
        <v>45818</v>
      </c>
    </row>
    <row r="228" ht="14.25">
      <c r="Z228" s="58">
        <f t="shared" si="20"/>
        <v>45817</v>
      </c>
    </row>
    <row r="229" ht="14.25">
      <c r="Z229" s="58">
        <f t="shared" ref="Z229:Z254" si="21">Z228-1</f>
        <v>45816</v>
      </c>
    </row>
    <row r="230" ht="14.25">
      <c r="Z230" s="58">
        <f t="shared" si="21"/>
        <v>45815</v>
      </c>
    </row>
    <row r="231" ht="14.25">
      <c r="Z231" s="58">
        <f t="shared" si="21"/>
        <v>45814</v>
      </c>
    </row>
    <row r="232" ht="14.25">
      <c r="Z232" s="58">
        <f t="shared" si="21"/>
        <v>45813</v>
      </c>
    </row>
    <row r="233" ht="14.25">
      <c r="Z233" s="58">
        <f t="shared" si="21"/>
        <v>45812</v>
      </c>
    </row>
    <row r="234" ht="14.25">
      <c r="Z234" s="58">
        <f t="shared" si="21"/>
        <v>45811</v>
      </c>
    </row>
    <row r="235" ht="14.25">
      <c r="Z235" s="58">
        <f t="shared" si="21"/>
        <v>45810</v>
      </c>
    </row>
    <row r="236" ht="14.25">
      <c r="Z236" s="58">
        <f t="shared" si="21"/>
        <v>45809</v>
      </c>
    </row>
    <row r="237" ht="14.25">
      <c r="Z237" s="58">
        <f t="shared" si="21"/>
        <v>45808</v>
      </c>
    </row>
    <row r="238" ht="14.25">
      <c r="Z238" s="58">
        <f t="shared" si="21"/>
        <v>45807</v>
      </c>
    </row>
    <row r="239" ht="14.25">
      <c r="Z239" s="58">
        <f t="shared" si="21"/>
        <v>45806</v>
      </c>
    </row>
    <row r="240" ht="14.25">
      <c r="Z240" s="58">
        <f t="shared" si="21"/>
        <v>45805</v>
      </c>
    </row>
    <row r="241" ht="14.25">
      <c r="Z241" s="58">
        <f t="shared" si="21"/>
        <v>45804</v>
      </c>
    </row>
    <row r="242" ht="14.25">
      <c r="Z242" s="58">
        <f t="shared" si="21"/>
        <v>45803</v>
      </c>
    </row>
    <row r="243" ht="14.25">
      <c r="Z243" s="58">
        <f t="shared" si="21"/>
        <v>45802</v>
      </c>
    </row>
    <row r="244" ht="14.25">
      <c r="Z244" s="58">
        <f t="shared" si="21"/>
        <v>45801</v>
      </c>
    </row>
    <row r="245" ht="14.25">
      <c r="Z245" s="58">
        <f t="shared" si="21"/>
        <v>45800</v>
      </c>
    </row>
    <row r="246" ht="14.25">
      <c r="Z246" s="58">
        <f t="shared" si="21"/>
        <v>45799</v>
      </c>
    </row>
    <row r="247" ht="14.25">
      <c r="Z247" s="58">
        <f t="shared" si="21"/>
        <v>45798</v>
      </c>
    </row>
    <row r="248" ht="14.25">
      <c r="Z248" s="58">
        <f t="shared" si="21"/>
        <v>45797</v>
      </c>
    </row>
    <row r="249" ht="14.25">
      <c r="Z249" s="58">
        <f t="shared" si="21"/>
        <v>45796</v>
      </c>
    </row>
    <row r="250" ht="14.25">
      <c r="Z250" s="58">
        <f t="shared" si="21"/>
        <v>45795</v>
      </c>
    </row>
    <row r="251" ht="14.25">
      <c r="Z251" s="58">
        <f t="shared" si="21"/>
        <v>45794</v>
      </c>
    </row>
    <row r="252" ht="14.25">
      <c r="Z252" s="58">
        <f t="shared" si="21"/>
        <v>45793</v>
      </c>
    </row>
    <row r="253" ht="14.25">
      <c r="Z253" s="58">
        <f t="shared" si="21"/>
        <v>45792</v>
      </c>
    </row>
    <row r="254" ht="14.25">
      <c r="Z254" s="58">
        <f t="shared" si="21"/>
        <v>45791</v>
      </c>
    </row>
    <row r="255" ht="14.25">
      <c r="Z255" s="58"/>
    </row>
    <row r="256" ht="14.25">
      <c r="Z256" s="58"/>
    </row>
    <row r="257" ht="14.25">
      <c r="Z257" s="58"/>
    </row>
    <row r="258" ht="14.25">
      <c r="Z258" s="58"/>
    </row>
    <row r="259" ht="14.25">
      <c r="Z259" s="58"/>
    </row>
    <row r="260" ht="14.25">
      <c r="Z260" s="58"/>
    </row>
    <row r="261" ht="14.25">
      <c r="Z261" s="58"/>
    </row>
    <row r="262" ht="14.25">
      <c r="Z262" s="58"/>
    </row>
    <row r="263" ht="14.25">
      <c r="Z263" s="58"/>
    </row>
    <row r="264" ht="14.25">
      <c r="Z264" s="58"/>
    </row>
    <row r="265" ht="14.25">
      <c r="Z265" s="58"/>
    </row>
    <row r="266" ht="14.25">
      <c r="Z266" s="58"/>
    </row>
    <row r="267" ht="14.25">
      <c r="Z267" s="58"/>
    </row>
    <row r="268" ht="14.25">
      <c r="Z268" s="58"/>
    </row>
    <row r="269" ht="14.25">
      <c r="Z269" s="58"/>
    </row>
    <row r="270" ht="14.25">
      <c r="Z270" s="58"/>
    </row>
    <row r="271" ht="14.25">
      <c r="Z271" s="58"/>
    </row>
    <row r="272" ht="14.25">
      <c r="Z272" s="58"/>
    </row>
    <row r="273" ht="14.25">
      <c r="Z273" s="58"/>
    </row>
    <row r="274" ht="14.25">
      <c r="Z274" s="58"/>
    </row>
    <row r="275" ht="14.25">
      <c r="Z275" s="58"/>
    </row>
    <row r="276" ht="14.25">
      <c r="Z276" s="58"/>
    </row>
    <row r="277" ht="14.25">
      <c r="Z277" s="58"/>
    </row>
    <row r="278" ht="14.25">
      <c r="Z278" s="58"/>
    </row>
    <row r="279" ht="14.25">
      <c r="Z279" s="58"/>
    </row>
    <row r="280" ht="14.25">
      <c r="Z280" s="58"/>
    </row>
    <row r="281" ht="14.25">
      <c r="Z281" s="58"/>
    </row>
    <row r="282" ht="14.25">
      <c r="Z282" s="58"/>
    </row>
    <row r="283" ht="14.25">
      <c r="Z283" s="58"/>
    </row>
    <row r="284" ht="14.25">
      <c r="Z284" s="58"/>
    </row>
    <row r="285" ht="14.25">
      <c r="Z285" s="58"/>
    </row>
    <row r="286" ht="14.25">
      <c r="Z286" s="58"/>
    </row>
    <row r="287" ht="14.25">
      <c r="Z287" s="58"/>
    </row>
    <row r="288" ht="14.25">
      <c r="Z288" s="58"/>
    </row>
    <row r="289" ht="14.25">
      <c r="Z289" s="58"/>
    </row>
    <row r="290" ht="14.25">
      <c r="Z290" s="58"/>
    </row>
    <row r="291" ht="14.25">
      <c r="Z291" s="58"/>
    </row>
    <row r="292" ht="14.25">
      <c r="Z292" s="58"/>
    </row>
    <row r="293" ht="14.25">
      <c r="Z293" s="58"/>
    </row>
    <row r="294" ht="14.25">
      <c r="Z294" s="58"/>
    </row>
    <row r="295" ht="14.25">
      <c r="Z295" s="58"/>
    </row>
    <row r="296" ht="14.25">
      <c r="Z296" s="58"/>
    </row>
    <row r="297" ht="14.25">
      <c r="Z297" s="58"/>
    </row>
    <row r="298" ht="14.25">
      <c r="Z298" s="58"/>
    </row>
    <row r="299" ht="14.25">
      <c r="Z299" s="58"/>
    </row>
    <row r="300" ht="14.25">
      <c r="Z300" s="58"/>
    </row>
    <row r="301" ht="14.25">
      <c r="Z301" s="58"/>
    </row>
    <row r="302" ht="14.25">
      <c r="Z302" s="58"/>
    </row>
    <row r="303" ht="14.25">
      <c r="Z303" s="58"/>
    </row>
    <row r="304" ht="14.25">
      <c r="Z304" s="58"/>
    </row>
    <row r="305" ht="14.25">
      <c r="Z305" s="58"/>
    </row>
    <row r="306" ht="14.25">
      <c r="Z306" s="58"/>
    </row>
    <row r="307" ht="14.25">
      <c r="Z307" s="58"/>
    </row>
    <row r="308" ht="14.25">
      <c r="Z308" s="58"/>
    </row>
    <row r="309" ht="14.25">
      <c r="Z309" s="58"/>
    </row>
    <row r="310" ht="14.25">
      <c r="Z310" s="58"/>
    </row>
  </sheetData>
  <conditionalFormatting sqref="C2:X35">
    <cfRule type="colorScale" priority="2">
      <colorScale>
        <cfvo type="num" val="0"/>
        <cfvo type="num" val="7"/>
        <cfvo type="num" val="15"/>
        <color rgb="FFFF7128"/>
        <color rgb="FFFFEB84"/>
        <color rgb="FF70AD47"/>
      </colorScale>
    </cfRule>
  </conditionalFormatting>
  <printOptions headings="0" gridLines="0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D001F-0002-44B5-9E44-0012004F0098}" type="list" allowBlank="1" errorStyle="stop" imeMode="noControl" operator="between" showDropDown="0" showErrorMessage="1" showInputMessage="1">
          <x14:formula1>
            <xm:f>$AA$2:$AA$17</xm:f>
          </x14:formula1>
          <x14:formula2>
            <xm:f>0</xm:f>
          </x14:formula2>
          <xm:sqref>C2:X35</xm:sqref>
        </x14:dataValidation>
        <x14:dataValidation xr:uid="{005F00B2-00DA-4178-A8B8-004B00800080}" type="list" allowBlank="1" errorStyle="stop" imeMode="noControl" operator="between" showDropDown="0" showErrorMessage="1" showInputMessage="1">
          <x14:formula1>
            <xm:f>$Z$2:$Z$254</xm:f>
          </x14:formula1>
          <x14:formula2>
            <xm:f>0</xm:f>
          </x14:formula2>
          <xm:sqref>C1:X1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D33" activeCellId="0" sqref="D33"/>
    </sheetView>
  </sheetViews>
  <sheetFormatPr defaultColWidth="10.3046875" defaultRowHeight="14.25"/>
  <sheetData>
    <row r="1" s="47" customFormat="1" ht="14.25">
      <c r="A1" s="47" t="s">
        <v>0</v>
      </c>
      <c r="B1" s="47" t="s">
        <v>1</v>
      </c>
      <c r="N1" s="47" t="s">
        <v>64</v>
      </c>
    </row>
    <row r="2" ht="14.25">
      <c r="A2" t="str">
        <f>IF(Berechnung!A2="","",Berechnung!A2)</f>
        <v>Timo</v>
      </c>
      <c r="B2" t="str">
        <f>IF(Berechnung!B2="","",Berechnung!B2)</f>
        <v>Bahl</v>
      </c>
    </row>
    <row r="3" ht="14.25">
      <c r="A3" t="str">
        <f>IF(Berechnung!A3="","",Berechnung!A3)</f>
        <v>Sarah</v>
      </c>
      <c r="B3" t="str">
        <f>IF(Berechnung!B3="","",Berechnung!B3)</f>
        <v>Bohnsack</v>
      </c>
    </row>
    <row r="4" ht="14.25">
      <c r="A4" t="str">
        <f>IF(Berechnung!A4="","",Berechnung!A4)</f>
        <v>Niklas</v>
      </c>
      <c r="B4" t="str">
        <f>IF(Berechnung!B4="","",Berechnung!B4)</f>
        <v>Faust</v>
      </c>
    </row>
    <row r="5" ht="14.25">
      <c r="A5" t="str">
        <f>IF(Berechnung!A5="","",Berechnung!A5)</f>
        <v>Fahrettin</v>
      </c>
      <c r="B5" t="str">
        <f>IF(Berechnung!B5="","",Berechnung!B5)</f>
        <v>Gediz</v>
      </c>
    </row>
    <row r="6" ht="14.25">
      <c r="A6" t="str">
        <f>IF(Berechnung!A6="","",Berechnung!A6)</f>
        <v>Nils</v>
      </c>
      <c r="B6" t="str">
        <f>IF(Berechnung!B6="","",Berechnung!B6)</f>
        <v>Heitbrink</v>
      </c>
    </row>
    <row r="7" ht="14.25">
      <c r="A7" t="str">
        <f>IF(Berechnung!A7="","",Berechnung!A7)</f>
        <v>Dennis</v>
      </c>
      <c r="B7" t="str">
        <f>IF(Berechnung!B7="","",Berechnung!B7)</f>
        <v>Kyrpychenko</v>
      </c>
    </row>
    <row r="8" ht="14.25">
      <c r="A8" t="str">
        <f>IF(Berechnung!A8="","",Berechnung!A8)</f>
        <v>Finn</v>
      </c>
      <c r="B8" t="str">
        <f>IF(Berechnung!B8="","",Berechnung!B8)</f>
        <v>Lenz</v>
      </c>
    </row>
    <row r="9" ht="14.25">
      <c r="A9" t="str">
        <f>IF(Berechnung!A9="","",Berechnung!A9)</f>
        <v>Gergö</v>
      </c>
      <c r="B9" t="str">
        <f>IF(Berechnung!B9="","",Berechnung!B9)</f>
        <v>Lukacs</v>
      </c>
    </row>
    <row r="10" ht="14.25">
      <c r="A10" t="str">
        <f>IF(Berechnung!A10="","",Berechnung!A10)</f>
        <v>Dennis</v>
      </c>
      <c r="B10" t="str">
        <f>IF(Berechnung!B10="","",Berechnung!B10)</f>
        <v>Noack</v>
      </c>
    </row>
    <row r="11" ht="14.25">
      <c r="A11" t="str">
        <f>IF(Berechnung!A11="","",Berechnung!A11)</f>
        <v>Lasse</v>
      </c>
      <c r="B11" t="str">
        <f>IF(Berechnung!B11="","",Berechnung!B11)</f>
        <v>Pöhls</v>
      </c>
    </row>
    <row r="12" ht="14.25">
      <c r="A12" t="str">
        <f>IF(Berechnung!A12="","",Berechnung!A12)</f>
        <v>Jerik</v>
      </c>
      <c r="B12" t="str">
        <f>IF(Berechnung!B12="","",Berechnung!B12)</f>
        <v>Reddig</v>
      </c>
    </row>
    <row r="13" ht="14.25">
      <c r="A13" t="str">
        <f>IF(Berechnung!A13="","",Berechnung!A13)</f>
        <v>Jeremy</v>
      </c>
      <c r="B13" t="str">
        <f>IF(Berechnung!B13="","",Berechnung!B13)</f>
        <v>Rohwer</v>
      </c>
    </row>
    <row r="14" ht="14.25">
      <c r="A14" t="str">
        <f>IF(Berechnung!A14="","",Berechnung!A14)</f>
        <v>Nora</v>
      </c>
      <c r="B14" t="str">
        <f>IF(Berechnung!B14="","",Berechnung!B14)</f>
        <v>Schewe</v>
      </c>
    </row>
    <row r="15" ht="14.25">
      <c r="A15" t="str">
        <f>IF(Berechnung!A15="","",Berechnung!A15)</f>
        <v>Tim</v>
      </c>
      <c r="B15" t="str">
        <f>IF(Berechnung!B15="","",Berechnung!B15)</f>
        <v>Scholtz</v>
      </c>
    </row>
    <row r="16" ht="14.25">
      <c r="A16" t="str">
        <f>IF(Berechnung!A16="","",Berechnung!A16)</f>
        <v>Alex</v>
      </c>
      <c r="B16" t="str">
        <f>IF(Berechnung!B16="","",Berechnung!B16)</f>
        <v>Sejdija</v>
      </c>
    </row>
    <row r="17" ht="14.25">
      <c r="A17" t="str">
        <f>IF(Berechnung!A17="","",Berechnung!A17)</f>
        <v>Torben</v>
      </c>
      <c r="B17" t="str">
        <f>IF(Berechnung!B17="","",Berechnung!B17)</f>
        <v>Winkler</v>
      </c>
    </row>
    <row r="18" ht="14.25">
      <c r="A18" t="str">
        <f>IF(Berechnung!A18="","",Berechnung!A18)</f>
        <v>Jonas</v>
      </c>
      <c r="B18" t="str">
        <f>IF(Berechnung!B18="","",Berechnung!B18)</f>
        <v>Wittenberg</v>
      </c>
    </row>
    <row r="19" ht="14.25">
      <c r="A19" t="str">
        <f>IF(Berechnung!A19="","",Berechnung!A19)</f>
        <v>Kjell</v>
      </c>
      <c r="B19" t="str">
        <f>IF(Berechnung!B19="","",Berechnung!B19)</f>
        <v>Wolff</v>
      </c>
    </row>
    <row r="20" ht="14.25">
      <c r="A20" t="str">
        <f>IF(Berechnung!A20="","",Berechnung!A20)</f>
        <v/>
      </c>
      <c r="B20" t="str">
        <f>IF(Berechnung!B20="","",Berechnung!B20)</f>
        <v/>
      </c>
    </row>
    <row r="21" ht="14.25">
      <c r="A21" t="str">
        <f>IF(Berechnung!A21="","",Berechnung!A21)</f>
        <v/>
      </c>
      <c r="B21" t="str">
        <f>IF(Berechnung!B21="","",Berechnung!B21)</f>
        <v/>
      </c>
    </row>
    <row r="22" ht="14.25">
      <c r="A22" t="str">
        <f>IF(Berechnung!A22="","",Berechnung!A22)</f>
        <v/>
      </c>
      <c r="B22" t="str">
        <f>IF(Berechnung!B22="","",Berechnung!B22)</f>
        <v/>
      </c>
    </row>
    <row r="23" ht="14.25">
      <c r="A23" t="str">
        <f>IF(Berechnung!A23="","",Berechnung!A23)</f>
        <v/>
      </c>
      <c r="B23" t="str">
        <f>IF(Berechnung!B23="","",Berechnung!B23)</f>
        <v/>
      </c>
    </row>
    <row r="24" ht="14.25">
      <c r="A24" t="str">
        <f>IF(Berechnung!A24="","",Berechnung!A24)</f>
        <v/>
      </c>
      <c r="B24" t="str">
        <f>IF(Berechnung!B24="","",Berechnung!B24)</f>
        <v/>
      </c>
    </row>
    <row r="25" ht="14.25">
      <c r="A25" t="str">
        <f>IF(Berechnung!A25="","",Berechnung!A25)</f>
        <v/>
      </c>
      <c r="B25" t="str">
        <f>IF(Berechnung!B25="","",Berechnung!B25)</f>
        <v/>
      </c>
    </row>
    <row r="26" ht="14.25">
      <c r="A26" t="str">
        <f>IF(Berechnung!A26="","",Berechnung!A26)</f>
        <v/>
      </c>
      <c r="B26" t="str">
        <f>IF(Berechnung!B26="","",Berechnung!B26)</f>
        <v/>
      </c>
    </row>
    <row r="27" ht="14.25">
      <c r="A27" t="str">
        <f>IF(Berechnung!A27="","",Berechnung!A27)</f>
        <v/>
      </c>
      <c r="B27" t="str">
        <f>IF(Berechnung!B27="","",Berechnung!B27)</f>
        <v/>
      </c>
    </row>
    <row r="28" ht="14.25">
      <c r="A28" t="str">
        <f>IF(Berechnung!A28="","",Berechnung!A28)</f>
        <v/>
      </c>
      <c r="B28" t="str">
        <f>IF(Berechnung!B28="","",Berechnung!B28)</f>
        <v/>
      </c>
    </row>
    <row r="29" ht="14.25">
      <c r="A29" t="str">
        <f>IF(Berechnung!A29="","",Berechnung!A29)</f>
        <v/>
      </c>
      <c r="B29" t="str">
        <f>IF(Berechnung!B29="","",Berechnung!B29)</f>
        <v/>
      </c>
    </row>
    <row r="30" ht="14.25">
      <c r="A30" t="str">
        <f>IF(Berechnung!A30="","",Berechnung!A30)</f>
        <v/>
      </c>
      <c r="B30" t="str">
        <f>IF(Berechnung!B30="","",Berechnung!B30)</f>
        <v/>
      </c>
    </row>
    <row r="31" ht="14.25">
      <c r="A31" t="str">
        <f>IF(Berechnung!A31="","",Berechnung!A31)</f>
        <v/>
      </c>
      <c r="B31" t="str">
        <f>IF(Berechnung!B31="","",Berechnung!B31)</f>
        <v/>
      </c>
    </row>
    <row r="32" ht="14.25">
      <c r="A32" t="str">
        <f>IF(Berechnung!A32="","",Berechnung!A32)</f>
        <v/>
      </c>
      <c r="B32" t="str">
        <f>IF(Berechnung!B32="","",Berechnung!B32)</f>
        <v/>
      </c>
    </row>
    <row r="33" ht="14.25">
      <c r="A33" t="str">
        <f>IF(Berechnung!A33="","",Berechnung!A33)</f>
        <v/>
      </c>
      <c r="B33" t="str">
        <f>IF(Berechnung!B33="","",Berechnung!B33)</f>
        <v/>
      </c>
    </row>
    <row r="34" ht="14.25">
      <c r="A34" t="str">
        <f>IF(Berechnung!A34="","",Berechnung!A34)</f>
        <v/>
      </c>
      <c r="B34" t="str">
        <f>IF(Berechnung!B34="","",Berechnung!B34)</f>
        <v/>
      </c>
    </row>
    <row r="35" ht="14.25">
      <c r="A35" t="str">
        <f>IF(Berechnung!A35="","",Berechnung!A35)</f>
        <v/>
      </c>
      <c r="B35" t="str">
        <f>IF(Berechnung!B35="","",Berechnung!B35)</f>
        <v/>
      </c>
    </row>
  </sheetData>
  <printOptions headings="0" gridLines="0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F21" activeCellId="0" sqref="F21"/>
    </sheetView>
  </sheetViews>
  <sheetFormatPr defaultColWidth="10.3046875" defaultRowHeight="14.25"/>
  <sheetData/>
  <printOptions headings="0" gridLines="0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C21" activeCellId="0" sqref="C21"/>
    </sheetView>
  </sheetViews>
  <sheetFormatPr defaultColWidth="10.78125" defaultRowHeight="14.25"/>
  <cols>
    <col customWidth="1" min="1" max="1" style="8" width="11.890000000000001"/>
    <col customWidth="1" min="2" max="2" style="8" width="12.67"/>
    <col customWidth="1" min="3" max="3" style="8" width="11.550000000000001"/>
  </cols>
  <sheetData>
    <row r="1" s="5" customFormat="1" ht="14.25">
      <c r="A1" s="5" t="s">
        <v>65</v>
      </c>
      <c r="B1" s="5" t="s">
        <v>66</v>
      </c>
      <c r="C1" s="5" t="s">
        <v>67</v>
      </c>
    </row>
    <row r="2" ht="14.25">
      <c r="A2" s="8">
        <v>0.69999999999999996</v>
      </c>
      <c r="B2" s="8" t="s">
        <v>68</v>
      </c>
      <c r="C2" s="8">
        <v>15</v>
      </c>
    </row>
    <row r="3" ht="14.25">
      <c r="A3" s="8">
        <v>1</v>
      </c>
      <c r="B3" s="8">
        <v>1</v>
      </c>
      <c r="C3" s="8">
        <v>14</v>
      </c>
    </row>
    <row r="4" ht="14.25">
      <c r="A4" s="8">
        <v>1.3</v>
      </c>
      <c r="B4" s="8" t="s">
        <v>69</v>
      </c>
      <c r="C4" s="8">
        <v>13</v>
      </c>
    </row>
    <row r="5" ht="14.25">
      <c r="A5" s="8">
        <v>1.7</v>
      </c>
      <c r="B5" s="8" t="s">
        <v>70</v>
      </c>
      <c r="C5" s="8">
        <v>12</v>
      </c>
    </row>
    <row r="6" ht="14.25">
      <c r="A6" s="8">
        <v>2</v>
      </c>
      <c r="B6" s="8">
        <v>2</v>
      </c>
      <c r="C6" s="8">
        <v>11</v>
      </c>
    </row>
    <row r="7" ht="14.25">
      <c r="A7" s="8">
        <v>2.2999999999999998</v>
      </c>
      <c r="B7" s="8" t="s">
        <v>71</v>
      </c>
      <c r="C7" s="8">
        <v>10</v>
      </c>
    </row>
    <row r="8" ht="14.25">
      <c r="A8" s="8">
        <v>2.7000000000000002</v>
      </c>
      <c r="B8" s="8" t="s">
        <v>72</v>
      </c>
      <c r="C8" s="8">
        <v>9</v>
      </c>
    </row>
    <row r="9" ht="14.25">
      <c r="A9" s="8">
        <v>3</v>
      </c>
      <c r="B9" s="8">
        <v>3</v>
      </c>
      <c r="C9" s="8">
        <v>8</v>
      </c>
    </row>
    <row r="10" ht="14.25">
      <c r="A10" s="8">
        <v>3.2999999999999998</v>
      </c>
      <c r="B10" s="8" t="s">
        <v>73</v>
      </c>
      <c r="C10" s="8">
        <v>7</v>
      </c>
    </row>
    <row r="11" ht="14.25">
      <c r="A11" s="8">
        <v>3.7000000000000002</v>
      </c>
      <c r="B11" s="8" t="s">
        <v>74</v>
      </c>
      <c r="C11" s="8">
        <v>6</v>
      </c>
    </row>
    <row r="12" ht="14.25">
      <c r="A12" s="8">
        <v>4</v>
      </c>
      <c r="B12" s="8">
        <v>4</v>
      </c>
      <c r="C12" s="8">
        <v>5</v>
      </c>
    </row>
    <row r="13" ht="14.25">
      <c r="A13" s="8">
        <v>4.2999999999999998</v>
      </c>
      <c r="B13" s="8" t="s">
        <v>75</v>
      </c>
      <c r="C13" s="8">
        <v>4</v>
      </c>
    </row>
    <row r="14" ht="14.25">
      <c r="A14" s="8">
        <v>4.7000000000000002</v>
      </c>
      <c r="B14" s="8" t="s">
        <v>76</v>
      </c>
      <c r="C14" s="8">
        <v>3</v>
      </c>
    </row>
    <row r="15" ht="14.25">
      <c r="A15" s="8">
        <v>5</v>
      </c>
      <c r="B15" s="8">
        <v>5</v>
      </c>
      <c r="C15" s="8">
        <v>2</v>
      </c>
    </row>
    <row r="16" ht="14.25">
      <c r="A16" s="8">
        <v>5.2999999999999998</v>
      </c>
      <c r="B16" s="8" t="s">
        <v>77</v>
      </c>
      <c r="C16" s="8">
        <v>1</v>
      </c>
    </row>
    <row r="17" ht="14.25">
      <c r="A17" s="8">
        <v>6</v>
      </c>
      <c r="B17" s="8">
        <v>6</v>
      </c>
      <c r="C17" s="8">
        <v>0</v>
      </c>
    </row>
  </sheetData>
  <printOptions headings="0" gridLines="0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Clausen</dc:creator>
  <dc:description/>
  <dc:language>de-DE</dc:language>
  <cp:revision>3</cp:revision>
  <dcterms:created xsi:type="dcterms:W3CDTF">2021-05-19T19:41:25Z</dcterms:created>
  <dcterms:modified xsi:type="dcterms:W3CDTF">2026-01-21T17:31:41Z</dcterms:modified>
</cp:coreProperties>
</file>